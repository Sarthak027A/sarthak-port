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xr:revisionPtr revIDLastSave="0" documentId="8_{AF776A23-09B8-48A0-AEAE-A9512CBBDED2}" xr6:coauthVersionLast="47" xr6:coauthVersionMax="47" xr10:uidLastSave="{00000000-0000-0000-0000-000000000000}"/>
  <bookViews>
    <workbookView xWindow="0" yWindow="0" windowWidth="16384" windowHeight="8192" tabRatio="500" firstSheet="0" xr2:uid="{00000000-000D-0000-FFFF-FFFF00000000}"/>
  </bookViews>
  <sheets>
    <sheet name="Dashboard" sheetId="1" r:id="rId1"/>
    <sheet name="Buyer Tracker" sheetId="2" r:id="rId2"/>
    <sheet name="Buyer Universe" sheetId="3" r:id="rId3"/>
    <sheet name="Diligence Checklist" sheetId="4" r:id="rId4"/>
    <sheet name="Instructions" sheetId="5" r:id="rId5"/>
  </sheets>
  <definedNames>
    <definedName name="_xlnm._FilterDatabase" localSheetId="1" hidden="1">'Buyer Tracker'!$A$3:$X$141</definedName>
    <definedName name="_xlnm._FilterDatabase" localSheetId="2" hidden="1">'Buyer Universe'!$A$3:$I$21</definedName>
    <definedName name="_xlnm._FilterDatabase" localSheetId="3" hidden="1">'Diligence Checklist'!$A$3:$G$29</definedName>
    <definedName name="_xlnm.Print_Area" localSheetId="0">Dashboard!$A$1:$K$77</definedName>
  </definedName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<sst xmlns="http://schemas.openxmlformats.org/spreadsheetml/2006/main" count="1461" uniqueCount="831">
  <si>
    <t>PROJECT IRONBEND</t>
  </si>
  <si>
    <t>Deal Process Tracker  |  Northline Precision Pipe Bending &amp; Fabrication Ltd.</t>
  </si>
  <si>
    <t>Report date:</t>
  </si>
  <si>
    <t>BUYERS IN UNIVERSE</t>
  </si>
  <si>
    <t>NDAs SIGNED</t>
  </si>
  <si>
    <t>CIMs SENT</t>
  </si>
  <si>
    <t>IOIs RECEIVED</t>
  </si>
  <si>
    <t>MGMT MEETINGS HELD</t>
  </si>
  <si>
    <t>Newly sourced from buyer-universe research — not yet contacted:</t>
  </si>
  <si>
    <t>See Buyer Universe tab →</t>
  </si>
  <si>
    <t>DEAL FUNNEL  —  BUYERS REACHING EACH STAGE (LIVE, LINKED TO BUYER TRACKER)</t>
  </si>
  <si>
    <t>1. NDA</t>
  </si>
  <si>
    <t>2. Teaser</t>
  </si>
  <si>
    <t>3. CIM Sent</t>
  </si>
  <si>
    <t>4. IOI Received</t>
  </si>
  <si>
    <t>5. Mgmt Meeting</t>
  </si>
  <si>
    <t>6. LOI Signed</t>
  </si>
  <si>
    <t>7. Diligence</t>
  </si>
  <si>
    <t>8. Definitive Agmt</t>
  </si>
  <si>
    <t>9. Close</t>
  </si>
  <si>
    <t>buyers</t>
  </si>
  <si>
    <t>PIPELINE STATUS (LIVE)</t>
  </si>
  <si>
    <t>Active (incl. Exclusivity)</t>
  </si>
  <si>
    <t>Declined / Passed</t>
  </si>
  <si>
    <t>Not Contacted / No Resp. / On Hold</t>
  </si>
  <si>
    <t>INDICATIVE VALUATION RANGE FROM IOIs RECEIVED (LIVE)</t>
  </si>
  <si>
    <t>Low ($mm)</t>
  </si>
  <si>
    <t>Average ($mm)</t>
  </si>
  <si>
    <t>High ($mm)</t>
  </si>
  <si>
    <t>OVERALL DEAL MILESTONE TIMELINE  —  PROJECT IRONBEND</t>
  </si>
  <si>
    <t>#</t>
  </si>
  <si>
    <t>Milestone</t>
  </si>
  <si>
    <t>Target Date</t>
  </si>
  <si>
    <t>Actual Date</t>
  </si>
  <si>
    <t>Status</t>
  </si>
  <si>
    <t>NDA</t>
  </si>
  <si>
    <t>Complete</t>
  </si>
  <si>
    <t>Teaser</t>
  </si>
  <si>
    <t>CIM Sent</t>
  </si>
  <si>
    <t>IOI Received</t>
  </si>
  <si>
    <t>Management Meeting</t>
  </si>
  <si>
    <t>LOI Signed</t>
  </si>
  <si>
    <t>Diligence Checklist</t>
  </si>
  <si>
    <t>—</t>
  </si>
  <si>
    <t>In Progress</t>
  </si>
  <si>
    <t>Definitive Agreement</t>
  </si>
  <si>
    <t>Not Started</t>
  </si>
  <si>
    <t>Close</t>
  </si>
  <si>
    <t>Current stage: 7 — Diligence Checklist (in progress, ~60% complete). Lead buyer under 60-day exclusivity signed July 21, 2026; target close October 31, 2026.</t>
  </si>
  <si>
    <t>This dashboard is fully linked to the Buyer Tracker tab — funnel counts, status mix, and IOI ranges recalculate automatically as tracker rows are updated. Only cells in this milestone table (Target/Actual Date, Status) are manual inputs; edit them as the deal progresses. See the Instructions tab for details.</t>
  </si>
  <si>
    <t>VISUAL SUMMARY  —  LIVE CHARTS (LINKED TO BUYER TRACKER)</t>
  </si>
  <si>
    <t>Chart source data (auto — mirrors the boxes above; do not edit)</t>
  </si>
  <si>
    <t>Active</t>
  </si>
  <si>
    <t>Low</t>
  </si>
  <si>
    <t>Average</t>
  </si>
  <si>
    <t>Not Contacted / Other</t>
  </si>
  <si>
    <t>High</t>
  </si>
  <si>
    <t>BUYER TRACKER — PROJECT IRONBEND</t>
  </si>
  <si>
    <t>138 buyers in universe (122 in active outreach + 16 newly sourced, not yet contacted)  |  Columns I–T = process dates (edit as milestones occur)  |  Column V (Current Stage) and W (Days Since Update) calculate automatically — do not edit  |  Column U (Status) is a dropdown</t>
  </si>
  <si>
    <t>Buyer ID</t>
  </si>
  <si>
    <t>Buyer Name</t>
  </si>
  <si>
    <t>Type</t>
  </si>
  <si>
    <t>Priority</t>
  </si>
  <si>
    <t>Primary Contact</t>
  </si>
  <si>
    <t>Email</t>
  </si>
  <si>
    <t>Initial Outreach</t>
  </si>
  <si>
    <t>NDA Sent</t>
  </si>
  <si>
    <t>1. NDA Signed</t>
  </si>
  <si>
    <t>2. Teaser Sent</t>
  </si>
  <si>
    <t>IOI Low ($mm)</t>
  </si>
  <si>
    <t>IOI High ($mm)</t>
  </si>
  <si>
    <t>7. Diligence Start</t>
  </si>
  <si>
    <t>Diligence %</t>
  </si>
  <si>
    <t>9. Close Date</t>
  </si>
  <si>
    <t>Current Stage (auto)</t>
  </si>
  <si>
    <t>Days Since Update</t>
  </si>
  <si>
    <t>Notes</t>
  </si>
  <si>
    <t>B001</t>
  </si>
  <si>
    <t>Ridgemont Buyout Partners</t>
  </si>
  <si>
    <t>Private Equity</t>
  </si>
  <si>
    <t>B</t>
  </si>
  <si>
    <t>Mark Choudhury</t>
  </si>
  <si>
    <t>m.choudhury@ridgemont.com</t>
  </si>
  <si>
    <t>Active - Exclusivity</t>
  </si>
  <si>
    <t>Selected buyer — signed LOI July 21, 2026; currently in confirmatory diligence under 60-day exclusivity.</t>
  </si>
  <si>
    <t>B002</t>
  </si>
  <si>
    <t>Wexford Growth Partners</t>
  </si>
  <si>
    <t>Matthew MacAllister</t>
  </si>
  <si>
    <t>m.macallister@wexford.com</t>
  </si>
  <si>
    <t>No Response</t>
  </si>
  <si>
    <t>No response to outreach after two follow-ups.</t>
  </si>
  <si>
    <t>B003</t>
  </si>
  <si>
    <t>Silverpeak Growth Partners</t>
  </si>
  <si>
    <t>C</t>
  </si>
  <si>
    <t>Daniel Bergeron</t>
  </si>
  <si>
    <t>d.bergeron@silverpeak.com</t>
  </si>
  <si>
    <t>Engaged; awaiting next step.</t>
  </si>
  <si>
    <t>B004</t>
  </si>
  <si>
    <t>Cedarbrook Growth Partners</t>
  </si>
  <si>
    <t>Family Office</t>
  </si>
  <si>
    <t>Thomas Osei</t>
  </si>
  <si>
    <t>t.osei@cedarbrook.com</t>
  </si>
  <si>
    <t>Declined</t>
  </si>
  <si>
    <t>Declined to proceed after review — cited valuation gap.</t>
  </si>
  <si>
    <t>B005</t>
  </si>
  <si>
    <t>Kestrel Private Equity</t>
  </si>
  <si>
    <t>A</t>
  </si>
  <si>
    <t>Michael Nakamura</t>
  </si>
  <si>
    <t>m.nakamura@kestrel.com</t>
  </si>
  <si>
    <t>B006</t>
  </si>
  <si>
    <t>Kestrel Industrial Capital</t>
  </si>
  <si>
    <t>Jason Nakamura</t>
  </si>
  <si>
    <t>j.nakamura@kestrel.com</t>
  </si>
  <si>
    <t>B007</t>
  </si>
  <si>
    <t>Stonegate Metalworks</t>
  </si>
  <si>
    <t>Strategic</t>
  </si>
  <si>
    <t>Amanda Sorensen</t>
  </si>
  <si>
    <t>a.sorensen@stonegate.com</t>
  </si>
  <si>
    <t>B008</t>
  </si>
  <si>
    <t>Deerfield Fabrication Group</t>
  </si>
  <si>
    <t>Amanda Novak</t>
  </si>
  <si>
    <t>a.novak@deerfield.com</t>
  </si>
  <si>
    <t>B009</t>
  </si>
  <si>
    <t>Larkspur Capital Management</t>
  </si>
  <si>
    <t>Christopher Lindqvist</t>
  </si>
  <si>
    <t>c.lindqvist@larkspur.com</t>
  </si>
  <si>
    <t>B010</t>
  </si>
  <si>
    <t>Highfield Equity Partners</t>
  </si>
  <si>
    <t>James Okafor</t>
  </si>
  <si>
    <t>j.okafor@highfield.com</t>
  </si>
  <si>
    <t>B011</t>
  </si>
  <si>
    <t>Ironwood Steel Works</t>
  </si>
  <si>
    <t>Christopher MacAllister</t>
  </si>
  <si>
    <t>c.macallister@ironwood.com</t>
  </si>
  <si>
    <t>B012</t>
  </si>
  <si>
    <t>Northbridge Investment Partners</t>
  </si>
  <si>
    <t>Rachel Delacroix</t>
  </si>
  <si>
    <t>r.delacroix@northbridge.com</t>
  </si>
  <si>
    <t>B013</t>
  </si>
  <si>
    <t>Blackstone Falls Energy Services</t>
  </si>
  <si>
    <t>Stephanie Whitcombe</t>
  </si>
  <si>
    <t>s.whitcombe@blackstone.com</t>
  </si>
  <si>
    <t>B014</t>
  </si>
  <si>
    <t>Amberline Capital Partners</t>
  </si>
  <si>
    <t>Megan Lindqvist</t>
  </si>
  <si>
    <t>m.lindqvist@amberline.com</t>
  </si>
  <si>
    <t>B015</t>
  </si>
  <si>
    <t>Copperfield Manufacturing Corp.</t>
  </si>
  <si>
    <t>Thomas Sorensen</t>
  </si>
  <si>
    <t>t.sorensen@copperfield.com</t>
  </si>
  <si>
    <t>B016</t>
  </si>
  <si>
    <t>Chandler Partners LLC</t>
  </si>
  <si>
    <t>Andrew Bianchi</t>
  </si>
  <si>
    <t>a.bianchi@chandler.com</t>
  </si>
  <si>
    <t>B017</t>
  </si>
  <si>
    <t>Larkspur Capital Group</t>
  </si>
  <si>
    <t>Danielle Fontaine</t>
  </si>
  <si>
    <t>d.fontaine@larkspur.com</t>
  </si>
  <si>
    <t>B018</t>
  </si>
  <si>
    <t>Fieldstone Private Equity</t>
  </si>
  <si>
    <t>Megan Kowalski</t>
  </si>
  <si>
    <t>m.kowalski@fieldstone.com</t>
  </si>
  <si>
    <t>B019</t>
  </si>
  <si>
    <t>Ironwood Process Equipment</t>
  </si>
  <si>
    <t>Brian Ferris</t>
  </si>
  <si>
    <t>b.ferris@ironwood.com</t>
  </si>
  <si>
    <t>B020</t>
  </si>
  <si>
    <t>Harrow Investment Partners</t>
  </si>
  <si>
    <t>Kevin Sorensen</t>
  </si>
  <si>
    <t>k.sorensen@harrow.com</t>
  </si>
  <si>
    <t>B021</t>
  </si>
  <si>
    <t>Cobalt Private Equity</t>
  </si>
  <si>
    <t>Laura Novak</t>
  </si>
  <si>
    <t>l.novak@cobalt.com</t>
  </si>
  <si>
    <t>B022</t>
  </si>
  <si>
    <t>Marlow Fund IV LP</t>
  </si>
  <si>
    <t>Robert Beaudry</t>
  </si>
  <si>
    <t>r.beaudry@marlow.com</t>
  </si>
  <si>
    <t>B023</t>
  </si>
  <si>
    <t>Highland Fabrication Group</t>
  </si>
  <si>
    <t>Steven Reinholt</t>
  </si>
  <si>
    <t>s.reinholt@highland.com</t>
  </si>
  <si>
    <t>B024</t>
  </si>
  <si>
    <t>Silverpeak Fund IV LP</t>
  </si>
  <si>
    <t>Thomas Vasquez</t>
  </si>
  <si>
    <t>t.vasquez@silverpeak.com</t>
  </si>
  <si>
    <t>B025</t>
  </si>
  <si>
    <t>Wexford Partners LLC</t>
  </si>
  <si>
    <t>Danielle Kowalski</t>
  </si>
  <si>
    <t>d.kowalski@wexford.com</t>
  </si>
  <si>
    <t>Passed</t>
  </si>
  <si>
    <t>Passed after initial review; not a strategic fit at this time.</t>
  </si>
  <si>
    <t>B026</t>
  </si>
  <si>
    <t>Deerpath Growth Partners</t>
  </si>
  <si>
    <t>Emily Choudhury</t>
  </si>
  <si>
    <t>e.choudhury@deerpath.com</t>
  </si>
  <si>
    <t>B027</t>
  </si>
  <si>
    <t>Palisade Buyout Partners</t>
  </si>
  <si>
    <t>Sarah Delacroix</t>
  </si>
  <si>
    <t>s.delacroix@palisade.com</t>
  </si>
  <si>
    <t>B028</t>
  </si>
  <si>
    <t>Sable Point Partners LLC</t>
  </si>
  <si>
    <t>Robert Vasquez</t>
  </si>
  <si>
    <t>r.vasquez@sable.com</t>
  </si>
  <si>
    <t>B029</t>
  </si>
  <si>
    <t>Crestview Pressure Systems</t>
  </si>
  <si>
    <t>Emily Nakamura</t>
  </si>
  <si>
    <t>e.nakamura@crestview.com</t>
  </si>
  <si>
    <t>B030</t>
  </si>
  <si>
    <t>Cascade Process Equipment</t>
  </si>
  <si>
    <t>Brian Sinclair</t>
  </si>
  <si>
    <t>b.sinclair@cascade.com</t>
  </si>
  <si>
    <t>B031</t>
  </si>
  <si>
    <t>Whitecliff Piping Solutions</t>
  </si>
  <si>
    <t>Ryan Callahan</t>
  </si>
  <si>
    <t>r.callahan@whitecliff.com</t>
  </si>
  <si>
    <t>B032</t>
  </si>
  <si>
    <t>Chandler Industrial Capital</t>
  </si>
  <si>
    <t>Danielle Renard</t>
  </si>
  <si>
    <t>d.renard@chandler.com</t>
  </si>
  <si>
    <t>B033</t>
  </si>
  <si>
    <t>Millbrook Energy Services</t>
  </si>
  <si>
    <t>Rachel Talbot</t>
  </si>
  <si>
    <t>r.talbot@millbrook.com</t>
  </si>
  <si>
    <t>B034</t>
  </si>
  <si>
    <t>Wexford Capital Partners</t>
  </si>
  <si>
    <t>Brian Bianchi</t>
  </si>
  <si>
    <t>b.bianchi@wexford.com</t>
  </si>
  <si>
    <t>B035</t>
  </si>
  <si>
    <t>Whitecliff Energy Infrastructure</t>
  </si>
  <si>
    <t>Christopher Renard</t>
  </si>
  <si>
    <t>c.renard@whitecliff.com</t>
  </si>
  <si>
    <t>B036</t>
  </si>
  <si>
    <t>Thornfield Capital Group</t>
  </si>
  <si>
    <t>Jason Vasquez</t>
  </si>
  <si>
    <t>j.vasquez@thornfield.com</t>
  </si>
  <si>
    <t>B037</t>
  </si>
  <si>
    <t>Crestview Fabrication Group</t>
  </si>
  <si>
    <t>Jason Delacroix</t>
  </si>
  <si>
    <t>j.delacroix@crestview.com</t>
  </si>
  <si>
    <t>B038</t>
  </si>
  <si>
    <t>Highland Industrial Holdings</t>
  </si>
  <si>
    <t>Megan Harmon</t>
  </si>
  <si>
    <t>m.harmon@highland.com</t>
  </si>
  <si>
    <t>B039</t>
  </si>
  <si>
    <t>Harrow Fund IV LP</t>
  </si>
  <si>
    <t>Christine Novak</t>
  </si>
  <si>
    <t>c.novak@harrow.com</t>
  </si>
  <si>
    <t>B040</t>
  </si>
  <si>
    <t>Highfield Industrial Partners</t>
  </si>
  <si>
    <t>Ashley Callahan</t>
  </si>
  <si>
    <t>a.callahan@highfield.com</t>
  </si>
  <si>
    <t>B041</t>
  </si>
  <si>
    <t>Sagebrush Industrial Partners</t>
  </si>
  <si>
    <t>Andrew Whitfield</t>
  </si>
  <si>
    <t>a.whitfield@sagebrush.com</t>
  </si>
  <si>
    <t>B042</t>
  </si>
  <si>
    <t>Silverline Energy Infrastructure</t>
  </si>
  <si>
    <t>Jennifer Sorensen</t>
  </si>
  <si>
    <t>j.sorensen@silverline.com</t>
  </si>
  <si>
    <t>B043</t>
  </si>
  <si>
    <t>Osprey Investment Partners</t>
  </si>
  <si>
    <t>Steven Vasquez</t>
  </si>
  <si>
    <t>s.vasquez@osprey.com</t>
  </si>
  <si>
    <t>B044</t>
  </si>
  <si>
    <t>Aldergate Capital Management</t>
  </si>
  <si>
    <t>Amanda Fontaine</t>
  </si>
  <si>
    <t>a.fontaine@aldergate.com</t>
  </si>
  <si>
    <t>B045</t>
  </si>
  <si>
    <t>Amberline Private Equity</t>
  </si>
  <si>
    <t>Thomas Langille</t>
  </si>
  <si>
    <t>t.langille@amberline.com</t>
  </si>
  <si>
    <t>B046</t>
  </si>
  <si>
    <t>Bedrock Manufacturing Corp.</t>
  </si>
  <si>
    <t>Ryan MacAllister</t>
  </si>
  <si>
    <t>r.macallister@bedrock.com</t>
  </si>
  <si>
    <t>B047</t>
  </si>
  <si>
    <t>Kestrel Industrial Partners</t>
  </si>
  <si>
    <t>Brian Duquette</t>
  </si>
  <si>
    <t>b.duquette@kestrel.com</t>
  </si>
  <si>
    <t>B048</t>
  </si>
  <si>
    <t>Sable Point Growth Partners</t>
  </si>
  <si>
    <t>Mark Bergeron</t>
  </si>
  <si>
    <t>m.bergeron@sable.com</t>
  </si>
  <si>
    <t>B049</t>
  </si>
  <si>
    <t>Whitecliff Energy Services</t>
  </si>
  <si>
    <t>Emily Delacroix</t>
  </si>
  <si>
    <t>e.delacroix@whitecliff.com</t>
  </si>
  <si>
    <t>B050</t>
  </si>
  <si>
    <t>Lakeshore Fabricators Inc.</t>
  </si>
  <si>
    <t>Ashley Reinholt</t>
  </si>
  <si>
    <t>a.reinholt@lakeshore.com</t>
  </si>
  <si>
    <t>B051</t>
  </si>
  <si>
    <t>Larkspur Industrial Partners</t>
  </si>
  <si>
    <t>Samantha Osei</t>
  </si>
  <si>
    <t>s.osei@larkspur.com</t>
  </si>
  <si>
    <t>B052</t>
  </si>
  <si>
    <t>Ironwood Fabricators Inc.</t>
  </si>
  <si>
    <t>Nicole Harmon</t>
  </si>
  <si>
    <t>n.harmon@ironwood.com</t>
  </si>
  <si>
    <t>B053</t>
  </si>
  <si>
    <t>Ironbridge Capital Group</t>
  </si>
  <si>
    <t>Steven Langille</t>
  </si>
  <si>
    <t>s.langille@ironbridge.com</t>
  </si>
  <si>
    <t>B054</t>
  </si>
  <si>
    <t>Sterling Metalworks</t>
  </si>
  <si>
    <t>Stephanie Whitfield</t>
  </si>
  <si>
    <t>s.whitfield@sterling.com</t>
  </si>
  <si>
    <t>B055</t>
  </si>
  <si>
    <t>Blackstone Falls Metalworks</t>
  </si>
  <si>
    <t>Michael Pearson</t>
  </si>
  <si>
    <t>m.pearson@blackstone.com</t>
  </si>
  <si>
    <t>B056</t>
  </si>
  <si>
    <t>Keystone Manufacturing Corp.</t>
  </si>
  <si>
    <t>Stephanie Delacroix</t>
  </si>
  <si>
    <t>s.delacroix@keystone.com</t>
  </si>
  <si>
    <t>B057</t>
  </si>
  <si>
    <t>Foothills Industrial Group</t>
  </si>
  <si>
    <t>Kevin Renard</t>
  </si>
  <si>
    <t>k.renard@foothills.com</t>
  </si>
  <si>
    <t>B058</t>
  </si>
  <si>
    <t>Wolfpack Energy Infrastructure</t>
  </si>
  <si>
    <t>James Bergeron</t>
  </si>
  <si>
    <t>j.bergeron@wolfpack.com</t>
  </si>
  <si>
    <t>B059</t>
  </si>
  <si>
    <t>Concord Capital Partners</t>
  </si>
  <si>
    <t>Jason Pearson</t>
  </si>
  <si>
    <t>j.pearson@concord.com</t>
  </si>
  <si>
    <t>B060</t>
  </si>
  <si>
    <t>Thornfield Partners LLC</t>
  </si>
  <si>
    <t>Nicole MacAllister</t>
  </si>
  <si>
    <t>n.macallister@thornfield.com</t>
  </si>
  <si>
    <t>B061</t>
  </si>
  <si>
    <t>Ironbridge Partners LLC</t>
  </si>
  <si>
    <t>Amanda Whitcombe</t>
  </si>
  <si>
    <t>a.whitcombe@ironbridge.com</t>
  </si>
  <si>
    <t>B062</t>
  </si>
  <si>
    <t>Thornfield Holdings</t>
  </si>
  <si>
    <t>Jason Beaudry</t>
  </si>
  <si>
    <t>j.beaudry@thornfield.com</t>
  </si>
  <si>
    <t>B063</t>
  </si>
  <si>
    <t>Fairweather Manufacturing Corp.</t>
  </si>
  <si>
    <t>Emily Talbot</t>
  </si>
  <si>
    <t>e.talbot@fairweather.com</t>
  </si>
  <si>
    <t>B064</t>
  </si>
  <si>
    <t>Silverpeak Capital Management</t>
  </si>
  <si>
    <t>Jennifer Whitcombe</t>
  </si>
  <si>
    <t>j.whitcombe@silverpeak.com</t>
  </si>
  <si>
    <t>B065</t>
  </si>
  <si>
    <t>Harbor Manufacturing Corp.</t>
  </si>
  <si>
    <t>Jason Fontaine</t>
  </si>
  <si>
    <t>j.fontaine@harbor.com</t>
  </si>
  <si>
    <t>B066</t>
  </si>
  <si>
    <t>Vantage Energy Services</t>
  </si>
  <si>
    <t>Kayla Duquette</t>
  </si>
  <si>
    <t>k.duquette@vantage.com</t>
  </si>
  <si>
    <t>B067</t>
  </si>
  <si>
    <t>Deerpath Private Equity</t>
  </si>
  <si>
    <t>Matthew Langille</t>
  </si>
  <si>
    <t>m.langille@deerpath.com</t>
  </si>
  <si>
    <t>B068</t>
  </si>
  <si>
    <t>Coldstream Manufacturing Corp.</t>
  </si>
  <si>
    <t>Mark Sinclair</t>
  </si>
  <si>
    <t>m.sinclair@coldstream.com</t>
  </si>
  <si>
    <t>B069</t>
  </si>
  <si>
    <t>Deerpath Capital Partners</t>
  </si>
  <si>
    <t>Laura Marchand</t>
  </si>
  <si>
    <t>l.marchand@deerpath.com</t>
  </si>
  <si>
    <t>B070</t>
  </si>
  <si>
    <t>Thornfield Industrial Capital</t>
  </si>
  <si>
    <t>David Duquette</t>
  </si>
  <si>
    <t>d.duquette@thornfield.com</t>
  </si>
  <si>
    <t>B071</t>
  </si>
  <si>
    <t>Wexford Industrial Capital</t>
  </si>
  <si>
    <t>Stephanie Marchand</t>
  </si>
  <si>
    <t>s.marchand@wexford.com</t>
  </si>
  <si>
    <t>B072</t>
  </si>
  <si>
    <t>Sable Point Fund IV LP</t>
  </si>
  <si>
    <t>Kevin Okafor</t>
  </si>
  <si>
    <t>k.okafor@sable.com</t>
  </si>
  <si>
    <t>B073</t>
  </si>
  <si>
    <t>Ironwood Piping Solutions</t>
  </si>
  <si>
    <t>Samantha Whitfield</t>
  </si>
  <si>
    <t>s.whitfield@ironwood.com</t>
  </si>
  <si>
    <t>B074</t>
  </si>
  <si>
    <t>Coldstream Pressure Systems</t>
  </si>
  <si>
    <t>Kayla Beaudry</t>
  </si>
  <si>
    <t>k.beaudry@coldstream.com</t>
  </si>
  <si>
    <t>B075</t>
  </si>
  <si>
    <t>Coldstream Piping Solutions</t>
  </si>
  <si>
    <t>Thomas Okafor</t>
  </si>
  <si>
    <t>t.okafor@coldstream.com</t>
  </si>
  <si>
    <t>B076</t>
  </si>
  <si>
    <t>Ironclad Industrial Group</t>
  </si>
  <si>
    <t>c.macallister@ironclad.com</t>
  </si>
  <si>
    <t>B077</t>
  </si>
  <si>
    <t>Coldstream Energy Services</t>
  </si>
  <si>
    <t>Ashley Novak</t>
  </si>
  <si>
    <t>a.novak@coldstream.com</t>
  </si>
  <si>
    <t>B078</t>
  </si>
  <si>
    <t>Deerpath Fund IV LP</t>
  </si>
  <si>
    <t>Brian Marchand</t>
  </si>
  <si>
    <t>b.marchand@deerpath.com</t>
  </si>
  <si>
    <t>B079</t>
  </si>
  <si>
    <t>Silverline Industries Ltd.</t>
  </si>
  <si>
    <t>Jennifer Kowalski</t>
  </si>
  <si>
    <t>j.kowalski@silverline.com</t>
  </si>
  <si>
    <t>B080</t>
  </si>
  <si>
    <t>Cedarbrook Industrial Partners</t>
  </si>
  <si>
    <t>m.harmon@cedarbrook.com</t>
  </si>
  <si>
    <t>B081</t>
  </si>
  <si>
    <t>Foothills Metalworks</t>
  </si>
  <si>
    <t>Matthew Reinholt</t>
  </si>
  <si>
    <t>m.reinholt@foothills.com</t>
  </si>
  <si>
    <t>B082</t>
  </si>
  <si>
    <t>Whitecliff Industries Ltd.</t>
  </si>
  <si>
    <t>Rachel Okafor</t>
  </si>
  <si>
    <t>r.okafor@whitecliff.com</t>
  </si>
  <si>
    <t>B083</t>
  </si>
  <si>
    <t>Windrose Investment Partners</t>
  </si>
  <si>
    <t>Rachel Ferris</t>
  </si>
  <si>
    <t>r.ferris@windrose.com</t>
  </si>
  <si>
    <t>B084</t>
  </si>
  <si>
    <t>Cedarbrook Capital Partners</t>
  </si>
  <si>
    <t>Danielle Talbot</t>
  </si>
  <si>
    <t>d.talbot@cedarbrook.com</t>
  </si>
  <si>
    <t>B085</t>
  </si>
  <si>
    <t>Cardinal Point Capital Group</t>
  </si>
  <si>
    <t>Kevin Sinclair</t>
  </si>
  <si>
    <t>k.sinclair@cardinal.com</t>
  </si>
  <si>
    <t>B086</t>
  </si>
  <si>
    <t>Elmwood Capital Management</t>
  </si>
  <si>
    <t>Laura Pearson</t>
  </si>
  <si>
    <t>l.pearson@elmwood.com</t>
  </si>
  <si>
    <t>B087</t>
  </si>
  <si>
    <t>Foothills Steel Works</t>
  </si>
  <si>
    <t>Laura Whitfield</t>
  </si>
  <si>
    <t>l.whitfield@foothills.com</t>
  </si>
  <si>
    <t>B088</t>
  </si>
  <si>
    <t>Fieldstone Industrial Capital</t>
  </si>
  <si>
    <t>Megan MacAllister</t>
  </si>
  <si>
    <t>m.macallister@fieldstone.com</t>
  </si>
  <si>
    <t>B089</t>
  </si>
  <si>
    <t>Harrow Capital Partners</t>
  </si>
  <si>
    <t>Rachel Renard</t>
  </si>
  <si>
    <t>r.renard@harrow.com</t>
  </si>
  <si>
    <t>B090</t>
  </si>
  <si>
    <t>Palisade Industrial Partners</t>
  </si>
  <si>
    <t>Michael Bianchi</t>
  </si>
  <si>
    <t>m.bianchi@palisade.com</t>
  </si>
  <si>
    <t>B091</t>
  </si>
  <si>
    <t>Wheatland Fabrication Group</t>
  </si>
  <si>
    <t>Christine Harmon</t>
  </si>
  <si>
    <t>c.harmon@wheatland.com</t>
  </si>
  <si>
    <t>B092</t>
  </si>
  <si>
    <t>Broadview Piping Solutions</t>
  </si>
  <si>
    <t>Christine Sinclair</t>
  </si>
  <si>
    <t>c.sinclair@broadview.com</t>
  </si>
  <si>
    <t>B093</t>
  </si>
  <si>
    <t>Fieldstone Capital Group</t>
  </si>
  <si>
    <t>e.choudhury@fieldstone.com</t>
  </si>
  <si>
    <t>B094</t>
  </si>
  <si>
    <t>Whitecliff Fabricators Inc.</t>
  </si>
  <si>
    <t>Mark Nakamura</t>
  </si>
  <si>
    <t>m.nakamura@whitecliff.com</t>
  </si>
  <si>
    <t>B095</t>
  </si>
  <si>
    <t>Millbrook Pressure Systems</t>
  </si>
  <si>
    <t>Christine Marchand</t>
  </si>
  <si>
    <t>c.marchand@millbrook.com</t>
  </si>
  <si>
    <t>B096</t>
  </si>
  <si>
    <t>Cedarbrook Industrial Capital</t>
  </si>
  <si>
    <t>Julia Marchand</t>
  </si>
  <si>
    <t>j.marchand@cedarbrook.com</t>
  </si>
  <si>
    <t>B097</t>
  </si>
  <si>
    <t>Ironclad Energy Services</t>
  </si>
  <si>
    <t>Jason Marchand</t>
  </si>
  <si>
    <t>j.marchand@ironclad.com</t>
  </si>
  <si>
    <t>B098</t>
  </si>
  <si>
    <t>Ironbridge Growth Partners</t>
  </si>
  <si>
    <t>Matthew Kowalski</t>
  </si>
  <si>
    <t>m.kowalski@ironbridge.com</t>
  </si>
  <si>
    <t>B099</t>
  </si>
  <si>
    <t>Marlin Bay Investment Partners</t>
  </si>
  <si>
    <t>Megan Novak</t>
  </si>
  <si>
    <t>m.novak@marlin.com</t>
  </si>
  <si>
    <t>B100</t>
  </si>
  <si>
    <t>Foothills Process Equipment</t>
  </si>
  <si>
    <t>Andrew Langille</t>
  </si>
  <si>
    <t>a.langille@foothills.com</t>
  </si>
  <si>
    <t>B101</t>
  </si>
  <si>
    <t>Cedarbrook Buyout Partners</t>
  </si>
  <si>
    <t>Emily Bianchi</t>
  </si>
  <si>
    <t>e.bianchi@cedarbrook.com</t>
  </si>
  <si>
    <t>B102</t>
  </si>
  <si>
    <t>Talus Industrial Partners</t>
  </si>
  <si>
    <t>Brian Whitfield</t>
  </si>
  <si>
    <t>b.whitfield@talus.com</t>
  </si>
  <si>
    <t>B103</t>
  </si>
  <si>
    <t>Northbridge Capital Management</t>
  </si>
  <si>
    <t>Mark Duquette</t>
  </si>
  <si>
    <t>m.duquette@northbridge.com</t>
  </si>
  <si>
    <t>B104</t>
  </si>
  <si>
    <t>Northbridge Private Equity</t>
  </si>
  <si>
    <t>Ryan Fontaine</t>
  </si>
  <si>
    <t>r.fontaine@northbridge.com</t>
  </si>
  <si>
    <t>B105</t>
  </si>
  <si>
    <t>Palisade Holdings</t>
  </si>
  <si>
    <t>Daniel Duquette</t>
  </si>
  <si>
    <t>d.duquette@palisade.com</t>
  </si>
  <si>
    <t>B106</t>
  </si>
  <si>
    <t>Amberline Capital Management</t>
  </si>
  <si>
    <t>Amanda Choudhury</t>
  </si>
  <si>
    <t>a.choudhury@amberline.com</t>
  </si>
  <si>
    <t>B107</t>
  </si>
  <si>
    <t>Trailhead Energy Services</t>
  </si>
  <si>
    <t>Kayla Callahan</t>
  </si>
  <si>
    <t>k.callahan@trailhead.com</t>
  </si>
  <si>
    <t>B108</t>
  </si>
  <si>
    <t>Cascade Industrial Group</t>
  </si>
  <si>
    <t>Ashley Talbot</t>
  </si>
  <si>
    <t>a.talbot@cascade.com</t>
  </si>
  <si>
    <t>B109</t>
  </si>
  <si>
    <t>Vireo Growth Partners</t>
  </si>
  <si>
    <t>Amanda Renard</t>
  </si>
  <si>
    <t>a.renard@vireo.com</t>
  </si>
  <si>
    <t>B110</t>
  </si>
  <si>
    <t>Fieldstone Investment Partners</t>
  </si>
  <si>
    <t>Christopher Vasquez</t>
  </si>
  <si>
    <t>c.vasquez@fieldstone.com</t>
  </si>
  <si>
    <t>B111</t>
  </si>
  <si>
    <t>Crestview Industries Ltd.</t>
  </si>
  <si>
    <t>d.bergeron@crestview.com</t>
  </si>
  <si>
    <t>B112</t>
  </si>
  <si>
    <t>Union Pacific West Industrial Holdings</t>
  </si>
  <si>
    <t>Jennifer Delacroix</t>
  </si>
  <si>
    <t>j.delacroix@union.com</t>
  </si>
  <si>
    <t>B113</t>
  </si>
  <si>
    <t>Continental Pressure Systems</t>
  </si>
  <si>
    <t>Mark Whitfield</t>
  </si>
  <si>
    <t>m.whitfield@continental.com</t>
  </si>
  <si>
    <t>B114</t>
  </si>
  <si>
    <t>Talus Private Equity</t>
  </si>
  <si>
    <t>Daniel Sorensen</t>
  </si>
  <si>
    <t>d.sorensen@talus.com</t>
  </si>
  <si>
    <t>B115</t>
  </si>
  <si>
    <t>Deerpath Industrial Partners</t>
  </si>
  <si>
    <t>Nicole Langille</t>
  </si>
  <si>
    <t>n.langille@deerpath.com</t>
  </si>
  <si>
    <t>B116</t>
  </si>
  <si>
    <t>Harrow Capital Group</t>
  </si>
  <si>
    <t>Daniel Delacroix</t>
  </si>
  <si>
    <t>d.delacroix@harrow.com</t>
  </si>
  <si>
    <t>B117</t>
  </si>
  <si>
    <t>Ashford Equity Partners</t>
  </si>
  <si>
    <t>Stephanie Nakamura</t>
  </si>
  <si>
    <t>s.nakamura@ashford.com</t>
  </si>
  <si>
    <t>B118</t>
  </si>
  <si>
    <t>Harbor Pressure Systems</t>
  </si>
  <si>
    <t>Steven Renard</t>
  </si>
  <si>
    <t>s.renard@harbor.com</t>
  </si>
  <si>
    <t>B119</t>
  </si>
  <si>
    <t>Marlin Bay Industrial Capital</t>
  </si>
  <si>
    <t>Kevin Langille</t>
  </si>
  <si>
    <t>k.langille@marlin.com</t>
  </si>
  <si>
    <t>B120</t>
  </si>
  <si>
    <t>Continental Piping Solutions</t>
  </si>
  <si>
    <t>l.marchand@continental.com</t>
  </si>
  <si>
    <t>B121</t>
  </si>
  <si>
    <t>Greystone Industrial Capital</t>
  </si>
  <si>
    <t>Amanda Bergeron</t>
  </si>
  <si>
    <t>a.bergeron@greystone.com</t>
  </si>
  <si>
    <t>B122</t>
  </si>
  <si>
    <t>Lakeshore Fabrication Group</t>
  </si>
  <si>
    <t>Daniel Talbot</t>
  </si>
  <si>
    <t>d.talbot@lakeshore.com</t>
  </si>
  <si>
    <t>B123</t>
  </si>
  <si>
    <t>CESSCO Fabrication &amp; Engineering Ltd.</t>
  </si>
  <si>
    <t>Not Contacted</t>
  </si>
  <si>
    <t>Nisku, AB — Direct regional competitor (ASME/ABSA certified). Not yet contacted. See Buyer Universe tab for full rationale, check size &amp; sources.</t>
  </si>
  <si>
    <t>B124</t>
  </si>
  <si>
    <t>Alberta Custom Pipe Bending &amp; Mfg. (2010) Ltd.</t>
  </si>
  <si>
    <t>Edmonton, AB — Direct same-city competitor, near-identical certification. Not yet contacted. See Buyer Universe tab for full rationale, check size &amp; sources.</t>
  </si>
  <si>
    <t>B125</t>
  </si>
  <si>
    <t>Bri-Steel Manufacturing (Integris International Inc.)</t>
  </si>
  <si>
    <t>Edmonton, AB — Seamless pipe mfr.; vertical extension into bending/vessels. Not yet contacted. See Buyer Universe tab for full rationale, check size &amp; sources.</t>
  </si>
  <si>
    <t>B126</t>
  </si>
  <si>
    <t>JNE Welding</t>
  </si>
  <si>
    <t>Saskatoon, SK — Large regional pressure vessel fabricator. Not yet contacted. See Buyer Universe tab for full rationale, check size &amp; sources.</t>
  </si>
  <si>
    <t>B127</t>
  </si>
  <si>
    <t>Moss Fabrication Ltd.</t>
  </si>
  <si>
    <t>Calgary, AB — Smaller Calgary fabricator; would gain code-stamp via acquisition. Not yet contacted. See Buyer Universe tab for full rationale, check size &amp; sources.</t>
  </si>
  <si>
    <t>B128</t>
  </si>
  <si>
    <t>Matrix Service Company</t>
  </si>
  <si>
    <t>Tulsa, OK (NASDAQ: MTRX) — Public EPC/fabrication co.; serial acquirer of small fabricators. Not yet contacted. See Buyer Universe tab for full rationale, check size &amp; sources.</t>
  </si>
  <si>
    <t>B129</t>
  </si>
  <si>
    <t>Total Energy Services Inc.</t>
  </si>
  <si>
    <t>Calgary, AB (TSX: TOT) — Public energy services co. with fabrication segment. Not yet contacted. See Buyer Universe tab for full rationale, check size &amp; sources.</t>
  </si>
  <si>
    <t>B130</t>
  </si>
  <si>
    <t>DXP Enterprises, Inc.</t>
  </si>
  <si>
    <t>Houston, TX (NASDAQ: DXPE) — Public roll-up; disclosed comparable Calgary deal (Mequipco). Not yet contacted. See Buyer Universe tab for full rationale, check size &amp; sources.</t>
  </si>
  <si>
    <t>B131</t>
  </si>
  <si>
    <t>Enerflex Ltd.</t>
  </si>
  <si>
    <t>Calgary, AB (TSX/NYSE: EFXT) — Public compression/process equipment manufacturer. Not yet contacted. See Buyer Universe tab for full rationale, check size &amp; sources.</t>
  </si>
  <si>
    <t>B132</t>
  </si>
  <si>
    <t>Clairvest Group Inc.</t>
  </si>
  <si>
    <t>Toronto, ON (TSX: CVG) — Listed PE firm w/ stated oilfield services mandate. Not yet contacted. See Buyer Universe tab for full rationale, check size &amp; sources.</t>
  </si>
  <si>
    <t>B133</t>
  </si>
  <si>
    <t>CORE Industrial Partners</t>
  </si>
  <si>
    <t>Chicago, IL — LMM manufacturing/industrial services specialist PE firm. Not yet contacted. See Buyer Universe tab for full rationale, check size &amp; sources.</t>
  </si>
  <si>
    <t>B134</t>
  </si>
  <si>
    <t>Kinderhook Industries, LLC</t>
  </si>
  <si>
    <t>New York, NY — LMM PE firm; check size likely above target scale. Not yet contacted. See Buyer Universe tab for full rationale, check size &amp; sources.</t>
  </si>
  <si>
    <t>B135</t>
  </si>
  <si>
    <t>Wynnchurch Capital, L.P.</t>
  </si>
  <si>
    <t>Rosemont, IL — MM industrial PE w/ Canadian affiliate; sizing likely a stretch. Not yet contacted. See Buyer Universe tab for full rationale, check size &amp; sources.</t>
  </si>
  <si>
    <t>B136</t>
  </si>
  <si>
    <t>Industrial Opportunity Partners (IOP)</t>
  </si>
  <si>
    <t>Evanston, IL — MM manufacturing PE; check size likely above target scale. Not yet contacted. See Buyer Universe tab for full rationale, check size &amp; sources.</t>
  </si>
  <si>
    <t>B137</t>
  </si>
  <si>
    <t>American Industrial Partners</t>
  </si>
  <si>
    <t>New York, NY — Large industrial PE; platform minimum &gt;$500mm revenue. Not yet contacted. See Buyer Universe tab for full rationale, check size &amp; sources.</t>
  </si>
  <si>
    <t>B138</t>
  </si>
  <si>
    <t>Birch Hill Equity Partners</t>
  </si>
  <si>
    <t>Toronto, ON — Canadian generalist PE; deal-size floor above target. Not yet contacted. See Buyer Universe tab for full rationale, check size &amp; sources.</t>
  </si>
  <si>
    <t>BUYER UNIVERSE / TARGET LIST — PROJECT IRONBEND</t>
  </si>
  <si>
    <t>Real, named strategic and financial buyers screened for Northline Precision Pipe Bending &amp; Fabrication Ltd. (ASME 'U'-Stamp / National Board certified pipe bending &amp; pressure vessel fabricator, Edmonton, AB; ~$9.4mm 2025E revenue). Compiled from public company filings, press releases, and firm websites — see Source column. Not an exhaustive list.</t>
  </si>
  <si>
    <t>HQ / Region</t>
  </si>
  <si>
    <t>Public / Private</t>
  </si>
  <si>
    <t>Rationale / Strategic Fit</t>
  </si>
  <si>
    <t>Est. Check Size / Capacity</t>
  </si>
  <si>
    <t>Prior Relevant Acquisitions</t>
  </si>
  <si>
    <t>Source</t>
  </si>
  <si>
    <t>STRATEGIC BUYERS</t>
  </si>
  <si>
    <t>Nisku, AB</t>
  </si>
  <si>
    <t>Private</t>
  </si>
  <si>
    <t>Direct regional competitor. ~75-year-old Alberta pressure vessel fabricator with multiple ASME and ABSA certifications, serving the same oil &amp; gas / petrochemical / mining customer base in Western Canada's high-load corridor. Acquisition would consolidate certified fabrication capacity and backlog in-region.</t>
  </si>
  <si>
    <t>Not publicly disclosed (privately held; no PE sponsor identified).</t>
  </si>
  <si>
    <t>None identified in public sources.</t>
  </si>
  <si>
    <t>cessco.ca</t>
  </si>
  <si>
    <t>Edmonton, AB</t>
  </si>
  <si>
    <t>Near-identical certification and service profile to the Company — ASME and National Board certified fabricator in the same Edmonton industrial corridor. A direct, same-city competitor; combination would remove a head-to-head bidder on certified pipe bending / pressure vessel work and add capacity.</t>
  </si>
  <si>
    <t>Not publicly disclosed (privately held).</t>
  </si>
  <si>
    <t>acpbm.com</t>
  </si>
  <si>
    <t>Edmonton-based large-diameter seamless steel pipe manufacturer (NPS 12-36") serving oil &amp; gas, pipeline and infrastructure customers; API/ASME/CSA certified. Adding Northline's bending and pressure vessel capability would let Bri-Steel offer fabricated/bent pipe products alongside its mill output — a logical vertical extension for an already-acquisitive, expansion-minded manufacturer.</t>
  </si>
  <si>
    <t>~US$23.4mm 2025 revenue (Bri-Steel); scale suggests capacity for a bolt-on of this size, but not publicly confirmed.</t>
  </si>
  <si>
    <t>Acquired the former GEFCO facility (Enid, OK) to build a second Thermal Pipe Expansion mill (asset purchase, not a company acquisition).</t>
  </si>
  <si>
    <t>ZoomInfo; manufacturinginfocus.com; bri-steel.com</t>
  </si>
  <si>
    <t>Saskatoon, SK</t>
  </si>
  <si>
    <t>One of Saskatchewan's largest full-service pressure vessel fabricators (77,000 sq ft shop, vessels up to 250 tons), serving oil sands, mining and potash customers. Geographic and end-market adjacency to Northline with limited certified-fabrication overlap — a bolt-on would extend JNE's footprint into Alberta's oil &amp; gas base.</t>
  </si>
  <si>
    <t>jnewelding.com</t>
  </si>
  <si>
    <t>Calgary, AB</t>
  </si>
  <si>
    <t>Calgary-based fabricator of pressure vessels, separators and skid packages for Western Canadian gas and oilfields since 1983, CSA/API/ASME compliant. Smaller regional player for whom acquiring Northline's ASME 'U'-Stamp and National Board dual certification would be a fast route to code-stamped pressure vessel work it cannot currently bid without third-party certification.</t>
  </si>
  <si>
    <t>mossfabrication.ca</t>
  </si>
  <si>
    <t>Tulsa, OK (NASDAQ: MTRX)</t>
  </si>
  <si>
    <t>Public</t>
  </si>
  <si>
    <t>Public EPC and fabrication company for aboveground storage tanks, terminals and ASME pressure vessels, with existing U.S. and Canadian operations. A serial acquirer of smaller fabrication and piping businesses historically; Northline's certified capacity and Tier-1 O&amp;G relationships would extend Matrix's Storage and Terminal Solutions / Process and Industrial Facilities segments into Western Canada.</t>
  </si>
  <si>
    <t>Public company; funds bolt-ons from cash + credit facility. Comparable historical deal was &lt;US$10mm (2014 upstream contractor acquisition).</t>
  </si>
  <si>
    <t>San Luis Piping Construction &amp; West Coast Industrial Coatings (~US$10.2mm, 1991); Health Engineering, Sarnia ON (1993); PDM Engineering; Houston Interests/River Consulting group (2016); Baillie Tank Equipment (2016); an upstream contractor for &lt;US$10mm (2014).</t>
  </si>
  <si>
    <t>matrixservicecompany.com; PitchBook; investors.matrixservicecompany.com</t>
  </si>
  <si>
    <t>Calgary, AB (TSX: TOT)</t>
  </si>
  <si>
    <t>Public, Calgary-based diversified energy services company whose Compression and Process Services segment (Bidell Gas Compression / process equipment fabrication) is the majority revenue driver. Explicit 'disciplined acquisition strategy' for fabrication and process equipment businesses — Northline's ASME/NB certification would add pressure vessel capability alongside Total's existing compression fabrication.</t>
  </si>
  <si>
    <t>Public company (TSX: TOT); stock ~C$19/share as of mid-2026. Deal sizing not disclosed for fabrication bolt-ons specifically.</t>
  </si>
  <si>
    <t>Multiple acquisitions incl. Savanna Energy Services merger (2017, drilling); Korea National Oil asset purchase (2025).</t>
  </si>
  <si>
    <t>totalenergy.ca; PitchBook; SEC filings</t>
  </si>
  <si>
    <t>Houston, TX (NASDAQ: DXPE)</t>
  </si>
  <si>
    <t>Public industrial MROP distributor operating an explicit, disclosed roll-up model (17+ acquisitions since 2004) with a demonstrated pattern of small Western Canadian bolt-ons at revenue scale directly comparable to Northline. Certified fabrication capability would be a natural adjacent-service addition to DXP's existing Alberta operations.</t>
  </si>
  <si>
    <t>Directly comparable disclosed deals: Mequipco Ltd. (Calgary, ~CAD$9.9mm revenue, 2026) and Industrial Paramedic Services (Calgary/Nisku, ~US$21mm revenue / ~US$4mm EBITDA, 2012) — both funded with cash + stock.</t>
  </si>
  <si>
    <t>Industrial Paramedic Services, Calgary/Nisku (2012); Mequipco Ltd., Calgary (2026); 15+ other bolt-ons since 2004 (Delta Process Equipment, Precision Industries, Rocky Mtn. Supply, PFI, others).</t>
  </si>
  <si>
    <t>SEC 8-K filings; investing.com; ir.dxpe.com</t>
  </si>
  <si>
    <t>Calgary, AB (TSX/NYSE: EFXT)</t>
  </si>
  <si>
    <t>Public Calgary-based manufacturer of natural gas compression and process equipment with an active M&amp;A program. Adjacent process-equipment fabricator; Northline's pressure vessel and pipe bending capability would complement Enerflex's compression package fabrication and broaden its certified product scope.</t>
  </si>
  <si>
    <t>Public company (TSX/NYSE: EFXT); deal sizing not disclosed for fabrication-scale bolt-ons.</t>
  </si>
  <si>
    <t>Absolute Compression Enterprise (2023) and 5 other acquisitions on record.</t>
  </si>
  <si>
    <t>PitchBook; GlobalData</t>
  </si>
  <si>
    <t>FINANCIAL BUYERS</t>
  </si>
  <si>
    <t>Financial</t>
  </si>
  <si>
    <t>Toronto, ON (TSX: CVG)</t>
  </si>
  <si>
    <t>Public (PE firm)</t>
  </si>
  <si>
    <t>Publicly listed Canadian PE firm with an explicitly stated mandate to invest in 'small and mid-sized... oil and gas field services' businesses, among other sectors — one of the few listed sponsors with named oilfield-services intent. Long Toronto/Calgary investor relationships and a consolidation/add-on playbook fit a certification-moat platform like Northline.</t>
  </si>
  <si>
    <t>~C$4.6bn capital under management; recent disclosed deals range ~US$30-165mm (e.g., MGM Northfield Park, US$165mm total / US$39mm CVG portion) — likely larger than this target, but smaller platform + add-on strategy possible.</t>
  </si>
  <si>
    <t>No pipe/pressure-vessel-fabrication acquisition identified specifically; broad oilfield services mandate confirmed on firm website.</t>
  </si>
  <si>
    <t>clairvest.com; investing.com; ZoomInfo</t>
  </si>
  <si>
    <t>New York, NY</t>
  </si>
  <si>
    <t>Private (PE firm)</t>
  </si>
  <si>
    <t>Lower-middle-market PE firm with 'Environmental &amp; Industrial Services' as one of three named core sectors and 500+ investments/add-ons since 2003. Platform-and-bolt-on model suits a certification-protected niche fabricator; scale is a modest stretch above their typical minimum.</t>
  </si>
  <si>
    <t>Stated criteria: US$10-50mm equity checks; EV range US$25-150mm — above Northline's $9-13mm indicative range, but a new lower middle-market vehicle (Kinderhook Strategic Opportunities Fund I, $1.1bn, closed 2026) may flex smaller.</t>
  </si>
  <si>
    <t>No pipe/pressure-vessel-fabrication acquisition identified specifically.</t>
  </si>
  <si>
    <t>kinderhook.com; Eagle Rock CFO; PR Newswire (KSOF close, Apr 2026)</t>
  </si>
  <si>
    <t>Chicago, IL</t>
  </si>
  <si>
    <t>PE firm investing exclusively in lower-middle-market manufacturing, industrial technology and industrial services businesses — sector focus matches a certified fabricator well; explicitly LMM-sized mandate is a closer fit to Northline's scale than most funds on this list.</t>
  </si>
  <si>
    <t>Firm-level: &gt;US$1.58bn capital commitments; per-deal check size not publicly disclosed.</t>
  </si>
  <si>
    <t>No pipe/pressure-vessel-fabrication acquisition identified specifically (recent exit: PrecisionX Group, precision machining).</t>
  </si>
  <si>
    <t>coreipfund.com</t>
  </si>
  <si>
    <t>Rosemont, IL (Canadian affiliate)</t>
  </si>
  <si>
    <t>Middle-market industrial PE firm with a standing Canadian affiliate and a specific track record of metals and industrial-services roll-ups (aluminum extrusions, MRO field services, critical infrastructure equipment) — the closest sector-and-geography match among the larger funds screened.</t>
  </si>
  <si>
    <t>~US$9.2bn regulatory AUM; recent disclosed deal sizes range widely (e.g., FloWorks sale at ~US$1.6bn EV) — individual platforms are typically larger than this target; most likely fit would be as an add-on to an existing Wynnchurch industrial-services or metals platform.</t>
  </si>
  <si>
    <t>Astro Shapes (aluminum extrusions); Industrial Service Solutions / ISS (MRO field services); Owen (critical infrastructure equipment); Charter Industries (2025).</t>
  </si>
  <si>
    <t>wynnchurch.com (news releases)</t>
  </si>
  <si>
    <t>Evanston, IL</t>
  </si>
  <si>
    <t>PE firm focused exclusively on middle-market manufacturing and value-added distribution, with prior acquisitions in two Canadian provinces — demonstrated willingness and infrastructure to close Canadian deals, though its typical target revenue ($50-500mm) is larger than Northline's.</t>
  </si>
  <si>
    <t>Stated equity check: US$15-100mm per transaction — above Northline's scale; would more likely appear as an add-on sponsor via an existing platform than a standalone bidder.</t>
  </si>
  <si>
    <t>30+ platform acquisitions since 2005 (e.g., Viaflex/Raven Engineered Films, N.B. Handy); none identified in pipe/pressure-vessel fabrication specifically.</t>
  </si>
  <si>
    <t>iopfund.com; Mergr</t>
  </si>
  <si>
    <t>Deeply industrial-focused PE firm (Energy Services and Equipment named as a sector of interest) with 125+ platform and add-on acquisitions — sector fit is strong, but included primarily for completeness: their stated minimum platform size is well above Northline's revenue.</t>
  </si>
  <si>
    <t>~US$16-17.8bn AUM; platform acquisitions typically require &gt;US$500mm revenue — a clear size mismatch for a US$9.4mm-revenue target; realistic only as a bolt-on to an existing AIP portfolio company, if any overlaps.</t>
  </si>
  <si>
    <t>125+ acquisitions across industrial sectors; GD Energy Products (industrial pumps) is the closest sector analog identified.</t>
  </si>
  <si>
    <t>americanindustrial.com; Mergr; CT Acquisitions directory</t>
  </si>
  <si>
    <t>Toronto, ON</t>
  </si>
  <si>
    <t>Established Canadian mid-market generalist sponsor (Energy Services and Equipment named as a sector of interest) with a long history of Canadian industrial deals — included for completeness, but its stated deal-size floor is well above this target.</t>
  </si>
  <si>
    <t>Targets control/significant-minority deals valued C$75mm-$3bn (per Mergr) — roughly 5-10x larger than Northline's indicative $9-13mm EV; a size mismatch unless deployed as an add-on to an existing platform.</t>
  </si>
  <si>
    <t>90 M&amp;A transactions on record; none identified in pipe/pressure-vessel fabrication specifically.</t>
  </si>
  <si>
    <t>birchhillequity.com; Mergr; PitchBook</t>
  </si>
  <si>
    <t>LEGEND</t>
  </si>
  <si>
    <t>Green = sector fit AND check size plausibly matches Northline's $9-13mm indicative EV.   Yellow = sector fit confirmed, but firm's typical/stated deal size is larger than this target — a realistic bolt-on/add-on candidate rather than a standalone lead bidder.</t>
  </si>
  <si>
    <t>Research notes: all organizations above are real, named companies verified via public filings, company websites, and news/PE-database sources as of August 2026 (see Source column for each). Fields marked 'not publicly disclosed' reflect genuine gaps in available public data for privately held companies — left blank/noted rather than estimated. This is a screened starting universe (16 names) for further analyst diligence, not an exhaustive or final buyer list; actual check size and appetite would be confirmed through direct buyer-side conversations.</t>
  </si>
  <si>
    <t>DILIGENCE CHECKLIST — PROJECT IRONBEND (LEAD BUYER: B001, EXCLUSIVITY)</t>
  </si>
  <si>
    <t>Stage 7 of the deal process. Update Status and % Complete as items close out — the dashboard summary reads from this tab.</t>
  </si>
  <si>
    <t>Category</t>
  </si>
  <si>
    <t>Diligence Item</t>
  </si>
  <si>
    <t>Owner</t>
  </si>
  <si>
    <t>Audited financial statements — FY2023-2025</t>
  </si>
  <si>
    <t>Advisor / CFO</t>
  </si>
  <si>
    <t>Received; reviewed by buyer's QoE team</t>
  </si>
  <si>
    <t>Quality of Earnings (QoE) report</t>
  </si>
  <si>
    <t>Buyer's Accountant</t>
  </si>
  <si>
    <t>Fieldwork underway, on-site this week</t>
  </si>
  <si>
    <t>Working capital analysis &amp; target</t>
  </si>
  <si>
    <t>Draft peg schedule circulated</t>
  </si>
  <si>
    <t>Backlog and order book schedule</t>
  </si>
  <si>
    <t>Company</t>
  </si>
  <si>
    <t>NPS 6-42 backlog by customer provided</t>
  </si>
  <si>
    <t>Customer concentration analysis</t>
  </si>
  <si>
    <t>Advisor</t>
  </si>
  <si>
    <t>Top 10 customers = 61% of revenue</t>
  </si>
  <si>
    <t>Legal</t>
  </si>
  <si>
    <t>Corporate structure &amp; cap table review</t>
  </si>
  <si>
    <t>Buyer's Counsel</t>
  </si>
  <si>
    <t>No issues identified</t>
  </si>
  <si>
    <t>Material contracts review (MSAs)</t>
  </si>
  <si>
    <t>Tier-1 operator MSAs under review</t>
  </si>
  <si>
    <t>Litigation &amp; claims history</t>
  </si>
  <si>
    <t>No pending litigation</t>
  </si>
  <si>
    <t>IP / trade secrets (bending procedures)</t>
  </si>
  <si>
    <t>Regulatory</t>
  </si>
  <si>
    <t>ASME 'U'-Stamp certification status</t>
  </si>
  <si>
    <t>Buyer / QA Lead</t>
  </si>
  <si>
    <t>Current, next audit Q1 2027</t>
  </si>
  <si>
    <t>National Board registration status</t>
  </si>
  <si>
    <t>Current, in good standing</t>
  </si>
  <si>
    <t>ABSA certification &amp; inspection history</t>
  </si>
  <si>
    <t>Requesting 5-yr inspection file</t>
  </si>
  <si>
    <t>CRN registration schedule (by province)</t>
  </si>
  <si>
    <t>Commercial</t>
  </si>
  <si>
    <t>Customer reference calls (top 5)</t>
  </si>
  <si>
    <t>Buyer / Advisor</t>
  </si>
  <si>
    <t>3 of 5 calls completed</t>
  </si>
  <si>
    <t>Competitive positioning review</t>
  </si>
  <si>
    <t>Buyer</t>
  </si>
  <si>
    <t>Pricing &amp; contract renewal terms</t>
  </si>
  <si>
    <t>Reviewing MSA renewal cadence</t>
  </si>
  <si>
    <t>Operations</t>
  </si>
  <si>
    <t>Facility &amp; equipment condition assessment</t>
  </si>
  <si>
    <t>Buyer's Engineer</t>
  </si>
  <si>
    <t>Site visit scheduled Aug 12</t>
  </si>
  <si>
    <t>Capacity utilization &amp; throughput analysis</t>
  </si>
  <si>
    <t>Safety &amp; environmental compliance (EHS)</t>
  </si>
  <si>
    <t>Buyer's Consultant</t>
  </si>
  <si>
    <t>Supplier concentration &amp; raw material sourcing</t>
  </si>
  <si>
    <t>Steel supply diversified, 4 mills</t>
  </si>
  <si>
    <t>HR</t>
  </si>
  <si>
    <t>Key employee / management retention review</t>
  </si>
  <si>
    <t>Retention packages under discussion</t>
  </si>
  <si>
    <t>Union / labor agreement review</t>
  </si>
  <si>
    <t>Non-union shop confirmed</t>
  </si>
  <si>
    <t>Compensation &amp; benefits benchmarking</t>
  </si>
  <si>
    <t>IT</t>
  </si>
  <si>
    <t>IT systems &amp; cybersecurity assessment</t>
  </si>
  <si>
    <t>Buyer's IT Consultant</t>
  </si>
  <si>
    <t>Tax</t>
  </si>
  <si>
    <t>Tax structuring &amp; historical filings review</t>
  </si>
  <si>
    <t>Buyer's Tax Advisor</t>
  </si>
  <si>
    <t>Federal &amp; Alberta filings requested</t>
  </si>
  <si>
    <t>Insurance</t>
  </si>
  <si>
    <t>Insurance policy review (property, liability, WCB)</t>
  </si>
  <si>
    <t>% COMPLETE (AUTO)</t>
  </si>
  <si>
    <t>Diligence items closed out:</t>
  </si>
  <si>
    <t>HOW THIS WORKBOOK WORKS</t>
  </si>
  <si>
    <t>1. STRUCTURE</t>
  </si>
  <si>
    <t>• Dashboard — the one-pager. Shows the 9-stage deal funnel, pipeline status mix, IOI valuation range, and the overall deal milestone timeline for Project Ironbend. Everything except the milestone table is a live formula.</t>
  </si>
  <si>
    <t>• Buyer Tracker — the working tracker. 138 rows pre-loaded: 122 buyers already in active outreach, plus 16 real buyers freshly sourced from the Buyer Universe tab (Status = Not Contacted, no dates yet). Add new buyers by inserting rows within the table range (row 4 through the last data row) so formulas and formatting copy down automatically.</t>
  </si>
  <si>
    <t>• Diligence Checklist — detailed checklist for the buyer in exclusivity (26 items across Financial, Legal, Regulatory, Commercial, Operations, HR, IT, Tax and Insurance workstreams), with an auto-calculated % complete.</t>
  </si>
  <si>
    <t>• Buyer Universe — sourcing reference. 16 real, named strategic and financial buyers researched for this deal (public filings, company sites, press releases), each with rationale/fit, estimated check size, prior relevant acquisitions and a source citation. These are the same 16 buyers appended to the bottom of the Buyer Tracker as "Not Contacted" — update them there once outreach begins.</t>
  </si>
  <si>
    <t>2. WHAT TO EDIT</t>
  </si>
  <si>
    <t>Buyer Tracker — edit freely (shown in blue font): columns G-T (process dates), M-N (IOI value range), U (Status dropdown), C (Type dropdown), D (Priority dropdown), X (Notes). Enter a date the moment a milestone happens (e.g. the day an NDA is countersigned goes in column I).</t>
  </si>
  <si>
    <t>Buyer Tracker — do NOT edit columns V (Current Stage) and W (Days Since Update). These are formulas that read the date columns automatically.</t>
  </si>
  <si>
    <t>Diligence Checklist — edit Status (dropdown) and Notes as items close out; the % Complete line at the bottom recalculates itself.</t>
  </si>
  <si>
    <t>Dashboard — only the Target Date / Actual Date / Status cells in the 'Overall Deal Milestone Timeline' table are manual. Everything above that table (KPI strip, funnel, pipeline status, IOI range) is a formula — do not type over it.</t>
  </si>
  <si>
    <t>3. HOW THE AUTO-UPDATING WORKS</t>
  </si>
  <si>
    <t>Current Stage (Buyer Tracker, col V): checks each buyer's date columns from Close backward to NDA Signed and returns the furthest milestone reached — no manual selection needed.</t>
  </si>
  <si>
    <t>Days Since Update (col W): TODAY() minus the most recent date entered for that buyer — flags stale rows in bold amber automatically if a buyer marked Active hasn't moved in 21+ days.</t>
  </si>
  <si>
    <t>Dashboard funnel counts: each stage box uses COUNT() on the corresponding Buyer Tracker date column (e.g. NDA count = COUNT of non-blank cells in column I), so it always reflects the current state of the tracker.</t>
  </si>
  <si>
    <t>Dashboard KPIs, status mix, and IOI range: COUNT/COUNTIF/AVERAGE/MIN/MAX formulas referencing the Buyer Tracker range — update instantly as you edit tracker rows.</t>
  </si>
  <si>
    <t>4. SCALING BEYOND 138 BUYERS</t>
  </si>
  <si>
    <t>Select the last data row in Buyer Tracker, right-click, Insert Copied Cells (or select the full row and Insert), then fill down columns V and W and the border/zebra formatting from the row above. All Dashboard formulas reference the fixed range B4:X141 by default — if you add rows beyond row 141, extend the ranges in the Dashboard formulas (Find &amp; Replace 141 with your new last row) and re-apply the Buyer Tracker data validations and conditional formatting to the new rows.</t>
  </si>
  <si>
    <t>5. FORMATTING KEY</t>
  </si>
  <si>
    <t>Blue text = manual input (safe to edit). Dark grey/black text = formula output (leave alone). Navy header bands mark table headers. Status is shown by text styling rather than colour fills: bold navy = active / in progress, grey = not started or no longer in play, italic grey = no response / on hold. Amber bold in 'Days Since Update' flags an Active buyer with no movement for 21+ days.</t>
  </si>
  <si>
    <t>1. Teaser Sent</t>
  </si>
  <si>
    <t>2. NDA Signed</t>
  </si>
  <si>
    <t>138 buyers in universe (122 contacted with the blind teaser + 16 newly sourced, not yet contacted)  |  Snapshot as of the Dashboard report date  |  Columns I–T = process dates (edit as milestones occur)  |  Column V (Current Stage) and W (Days Since Update) calculate automatically — do not edit  |  Column U (Status) is a dropdown</t>
  </si>
  <si>
    <t>Selected buyer: LOI countersigned 21-Jul-2026 (60-day exclusivity to 19-Sep-2026); confirmatory diligence since 28-Jul-2026, see Diligence Checklist.</t>
  </si>
  <si>
    <t>On Hold</t>
  </si>
  <si>
    <t>Final-round bidder: submitted a competing LOI on 21-Jul-2026 that was not countersigned (weaker certainty of financing). Backup bidder; on hold during B001 exclusivity.</t>
  </si>
  <si>
    <t>Final-round bidder after management meeting; did not submit an LOI by the 21-Jul deadline. On hold during B001 exclusivity.</t>
  </si>
  <si>
    <t>IOI received but not advanced to management meetings (lower or less certain bid). Held in reserve during exclusivity.</t>
  </si>
  <si>
    <t>Received CIM; did not submit an IOI by the round-1 deadline (18-Jun-2026).</t>
  </si>
  <si>
    <t>Reviewed CIM; passed before IOIs (not a strategic fit at this time).</t>
  </si>
  <si>
    <t>Received blind teaser and NDA; NDA not executed (passed on size or sector fit).</t>
  </si>
  <si>
    <t>Reviewed teaser; passed before signing the NDA (not a strategic fit at this time).</t>
  </si>
  <si>
    <t>No response to teaser outreach after two follow-ups.</t>
  </si>
  <si>
    <t>Received blind teaser; did not sign the NDA (passed on size or sector fit).</t>
  </si>
  <si>
    <t>1. Teaser</t>
  </si>
  <si>
    <t>2. NDA</t>
  </si>
  <si>
    <t>Top 5 customers = ~59% of revenue; largest ~18% (matches CIM)</t>
  </si>
  <si>
    <t>This dashboard is fully linked to the Buyer Tracker tab — funnel counts, status mix, IOI range and the current-stage line recalculate automatically as tracker rows are updated. Manual inputs: the report date (top right) and the milestone table (Target/Actual Date, Status). See the Instructions tab.</t>
  </si>
  <si>
    <t>• Dashboard — the one-pager. Shows the 9-stage deal funnel (Teaser → NDA → CIM → IOI → Management Meeting → LOI → Diligence → Definitive Agreement → Close), pipeline status mix, IOI valuation range, and the overall deal milestone timeline for Project Ironbend. Everything except the report date and the milestone table is a live formula.</t>
  </si>
  <si>
    <t>• Buyer Tracker — the working tracker. 138 rows pre-loaded: 122 buyers contacted with the blind teaser, plus 16 real buyers freshly sourced from the Buyer Universe tab (Status = Not Contacted, no dates yet). Add new buyers by inserting rows within the table range (row 4 through the last data row) so formulas and formatting copy down automatically.</t>
  </si>
  <si>
    <t>Buyer Tracker — edit freely (shown in blue font): columns G-T (process dates), M-N (IOI value range), U (Status dropdown), C (Type dropdown), D (Priority dropdown), X (Notes). Enter a date the moment a milestone happens (e.g. the day an NDA is countersigned goes in column J).</t>
  </si>
  <si>
    <t>Dashboard — only the report date (I6) and the Target Date / Actual Date / Status cells in the 'Overall Deal Milestone Timeline' table are manual. Everything else (KPI strip, funnel, pipeline status, IOI range, current-stage line) is a formula — do not type over it.</t>
  </si>
  <si>
    <t>Current Stage (Buyer Tracker, col V): checks each buyer's date columns from Close backward to Teaser Sent and returns the furthest milestone reached — no manual selection needed.</t>
  </si>
  <si>
    <t>Days Since Update (col W): the Dashboard report date minus the most recent date entered for that buyer — flags stale rows in bold amber automatically if a buyer marked Active hasn't moved in 21+ days. Set the report date to today's date when you update the tracker.</t>
  </si>
  <si>
    <t>Dashboard funnel counts: each stage box uses COUNT() on the corresponding Buyer Tracker date column (e.g. NDA count = COUNT of non-blank cells in column J), so it always reflects the current state of the tracker.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</si>
</sst>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&quot;, &quot;yyyy"/>
    <numFmt numFmtId="165" formatCode="0%&quot; conv&quot;."/>
    <numFmt numFmtId="166" formatCode="\$#,##0.0&quot;mm&quot;"/>
    <numFmt numFmtId="167" formatCode="\$#,##0.0"/>
  </numFmts>
  <fonts count="39"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20"/>
      <color rgb="FF1F3864"/>
      <name val="Arial"/>
      <family val="2"/>
      <charset val="1"/>
    </font>
    <font>
      <sz val="10"/>
      <color rgb="FF595959"/>
      <name val="Arial"/>
      <family val="2"/>
      <charset val="1"/>
    </font>
    <font>
      <i/>
      <sz val="9"/>
      <color rgb="FF808080"/>
      <name val="Arial"/>
      <family val="2"/>
      <charset val="1"/>
    </font>
    <font>
      <sz val="9"/>
      <color rgb="FF595959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595959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9"/>
      <color rgb="FFBF8F00"/>
      <name val="Arial"/>
      <charset val="1"/>
    </font>
    <font>
      <b/>
      <sz val="10"/>
      <color rgb="FFBF8F00"/>
      <name val="Arial"/>
      <charset val="1"/>
    </font>
    <font>
      <i/>
      <sz val="8"/>
      <color rgb="FFBF8F00"/>
      <name val="Arial"/>
      <charset val="1"/>
    </font>
    <font>
      <b/>
      <sz val="10"/>
      <color rgb="FF1F3864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5"/>
      <color rgb="FF1F3864"/>
      <name val="Arial"/>
      <family val="2"/>
      <charset val="1"/>
    </font>
    <font>
      <i/>
      <sz val="7"/>
      <color rgb="FF808080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808080"/>
      <name val="Arial"/>
      <family val="2"/>
      <charset val="1"/>
    </font>
    <font>
      <sz val="10"/>
      <color rgb="FF262626"/>
      <name val="Arial"/>
      <family val="2"/>
      <charset val="1"/>
    </font>
    <font>
      <i/>
      <sz val="8"/>
      <color rgb="FF808080"/>
      <name val="Arial"/>
      <family val="2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sz val="8"/>
      <color rgb="FF7F7F7F"/>
      <name val="Arial"/>
      <charset val="1"/>
    </font>
    <font>
      <b/>
      <sz val="9"/>
      <color rgb="FF262626"/>
      <name val="Arial"/>
      <family val="2"/>
      <charset val="1"/>
    </font>
    <font>
      <sz val="9"/>
      <color rgb="FF262626"/>
      <name val="Arial"/>
      <family val="2"/>
      <charset val="1"/>
    </font>
    <font>
      <sz val="9"/>
      <color rgb="FF2F5597"/>
      <name val="Arial"/>
      <family val="2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14"/>
      <color rgb="FFFFFFFF"/>
      <name val="Arial"/>
      <charset val="1"/>
    </font>
    <font>
      <i/>
      <sz val="8"/>
      <color rgb="FF7F7F7F"/>
      <name val="Arial"/>
      <charset val="1"/>
    </font>
    <font>
      <b/>
      <sz val="9"/>
      <color rgb="FFFFFFFF"/>
      <name val="Arial"/>
      <charset val="1"/>
    </font>
    <font>
      <i/>
      <sz val="9"/>
      <color rgb="FF2F5597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6"/>
      <color rgb="FF1F3864"/>
      <name val="Arial"/>
      <family val="2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1F4E78"/>
      </patternFill>
    </fill>
    <fill>
      <patternFill patternType="solid">
        <fgColor rgb="FFEEF2FA"/>
        <bgColor rgb="FFF2F2F2"/>
      </patternFill>
    </fill>
    <fill>
      <patternFill patternType="solid">
        <fgColor rgb="FF4472C4"/>
        <bgColor rgb="FF4F81BD"/>
      </patternFill>
    </fill>
    <fill>
      <patternFill patternType="solid">
        <fgColor rgb="FFF2F2F2"/>
        <bgColor rgb="FFEEF2FA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8" fillId="2" borderId="0" xfId="0" applyFont="1" applyFill="1" applyBorder="1" applyAlignment="1" applyProtection="1">
      <alignment horizontal="center" vertical="center"/>
    </xf>
    <xf numFmtId="164" fontId="7" fillId="2" borderId="0" xfId="0" applyNumberFormat="1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</xf>
    <xf numFmtId="9" fontId="17" fillId="2" borderId="0" xfId="0" applyNumberFormat="1" applyFont="1" applyFill="1" applyBorder="1" applyAlignment="1" applyProtection="1">
      <alignment horizontal="center"/>
    </xf>
    <xf numFmtId="0" fontId="36" fillId="2" borderId="0" xfId="0" applyFont="1" applyFill="1" applyBorder="1" applyAlignment="1" applyProtection="1"/>
    <xf numFmtId="0" fontId="6" fillId="2" borderId="0" xfId="0" applyFont="1" applyFill="1" applyBorder="1" applyAlignment="1" applyProtection="1"/>
    <xf numFmtId="0" fontId="13" fillId="2" borderId="1" xfId="0" applyFont="1" applyFill="1" applyBorder="1" applyAlignment="1" applyProtection="1"/>
    <xf numFmtId="0" fontId="21" fillId="2" borderId="0" xfId="0" applyFont="1" applyFill="1" applyBorder="1" applyAlignment="1" applyProtection="1"/>
    <xf numFmtId="0" fontId="17" fillId="2" borderId="0" xfId="0" applyFont="1" applyFill="1" applyBorder="1" applyAlignment="1" applyProtection="1">
      <alignment horizontal="left" vertical="center" indent="1"/>
    </xf>
    <xf numFmtId="0" fontId="0" fillId="0" borderId="0" xfId="0" applyAlignment="1" applyProtection="1"/>
    <xf numFmtId="0" fontId="1" fillId="2" borderId="0" xfId="0" applyFont="1" applyFill="1" applyAlignment="1" applyProtection="1"/>
    <xf numFmtId="0" fontId="1" fillId="2" borderId="2" xfId="0" applyFont="1" applyFill="1" applyBorder="1" applyAlignment="1" applyProtection="1"/>
    <xf numFmtId="0" fontId="14" fillId="4" borderId="4" xfId="0" applyFont="1" applyFill="1" applyBorder="1" applyAlignment="1" applyProtection="1">
      <alignment horizontal="center" vertical="center" wrapText="1"/>
    </xf>
    <xf numFmtId="0" fontId="15" fillId="2" borderId="4" xfId="0" applyFont="1" applyFill="1" applyBorder="1" applyAlignment="1" applyProtection="1">
      <alignment horizontal="center" vertical="center"/>
    </xf>
    <xf numFmtId="0" fontId="16" fillId="2" borderId="0" xfId="0" applyFont="1" applyFill="1" applyAlignment="1" applyProtection="1">
      <alignment horizontal="center" vertical="center"/>
    </xf>
    <xf numFmtId="165" fontId="16" fillId="2" borderId="0" xfId="0" applyNumberFormat="1" applyFont="1" applyFill="1" applyAlignment="1" applyProtection="1">
      <alignment horizontal="center" vertical="center"/>
    </xf>
    <xf numFmtId="0" fontId="17" fillId="2" borderId="4" xfId="0" applyFont="1" applyFill="1" applyBorder="1" applyAlignment="1" applyProtection="1">
      <alignment horizontal="center" vertical="center"/>
    </xf>
    <xf numFmtId="166" fontId="17" fillId="2" borderId="4" xfId="0" applyNumberFormat="1" applyFont="1" applyFill="1" applyBorder="1" applyAlignment="1" applyProtection="1">
      <alignment horizontal="center" vertical="center"/>
    </xf>
    <xf numFmtId="0" fontId="18" fillId="4" borderId="4" xfId="0" applyFont="1" applyFill="1" applyBorder="1" applyAlignment="1" applyProtection="1">
      <alignment horizontal="center" vertical="center"/>
    </xf>
    <xf numFmtId="0" fontId="19" fillId="2" borderId="4" xfId="0" applyFont="1" applyFill="1" applyBorder="1" applyAlignment="1" applyProtection="1">
      <alignment horizontal="center" vertical="center"/>
    </xf>
    <xf numFmtId="164" fontId="6" fillId="2" borderId="4" xfId="0" applyNumberFormat="1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24" fillId="0" borderId="0" xfId="0" applyFont="1" applyAlignment="1" applyProtection="1"/>
    <xf numFmtId="166" fontId="24" fillId="0" borderId="0" xfId="0" applyNumberFormat="1" applyFont="1" applyAlignment="1" applyProtection="1"/>
    <xf numFmtId="0" fontId="18" fillId="4" borderId="4" xfId="0" applyFont="1" applyFill="1" applyBorder="1" applyAlignment="1" applyProtection="1">
      <alignment horizontal="center" wrapText="1"/>
    </xf>
    <xf numFmtId="0" fontId="25" fillId="2" borderId="4" xfId="0" applyFont="1" applyFill="1" applyBorder="1" applyAlignment="1" applyProtection="1">
      <alignment horizontal="center"/>
    </xf>
    <xf numFmtId="0" fontId="26" fillId="2" borderId="4" xfId="0" applyFont="1" applyFill="1" applyBorder="1" applyAlignment="1" applyProtection="1"/>
    <xf numFmtId="0" fontId="27" fillId="2" borderId="4" xfId="0" applyFont="1" applyFill="1" applyBorder="1" applyAlignment="1" applyProtection="1"/>
    <xf numFmtId="164" fontId="27" fillId="2" borderId="4" xfId="0" applyNumberFormat="1" applyFont="1" applyFill="1" applyBorder="1" applyAlignment="1" applyProtection="1">
      <alignment horizontal="center" vertical="center"/>
    </xf>
    <xf numFmtId="167" fontId="27" fillId="2" borderId="4" xfId="0" applyNumberFormat="1" applyFont="1" applyFill="1" applyBorder="1" applyAlignment="1" applyProtection="1">
      <alignment horizontal="center"/>
    </xf>
    <xf numFmtId="9" fontId="27" fillId="2" borderId="4" xfId="0" applyNumberFormat="1" applyFont="1" applyFill="1" applyBorder="1" applyAlignment="1" applyProtection="1">
      <alignment horizontal="center"/>
    </xf>
    <xf numFmtId="0" fontId="27" fillId="2" borderId="4" xfId="0" applyFont="1" applyFill="1" applyBorder="1" applyAlignment="1" applyProtection="1">
      <alignment horizontal="center" vertical="center"/>
    </xf>
    <xf numFmtId="0" fontId="26" fillId="2" borderId="4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27" fillId="2" borderId="4" xfId="0" applyFont="1" applyFill="1" applyBorder="1" applyAlignment="1" applyProtection="1">
      <alignment horizontal="left"/>
    </xf>
    <xf numFmtId="0" fontId="28" fillId="0" borderId="3" xfId="0" applyFont="1" applyBorder="1" applyAlignment="1" applyProtection="1"/>
    <xf numFmtId="0" fontId="29" fillId="0" borderId="3" xfId="0" applyFont="1" applyBorder="1" applyAlignment="1" applyProtection="1"/>
    <xf numFmtId="0" fontId="0" fillId="0" borderId="3" xfId="0" applyFont="1" applyBorder="1" applyAlignment="1" applyProtection="1"/>
    <xf numFmtId="0" fontId="0" fillId="0" borderId="3" xfId="0" applyBorder="1" applyAlignment="1" applyProtection="1"/>
    <xf numFmtId="0" fontId="30" fillId="0" borderId="3" xfId="0" applyFont="1" applyBorder="1" applyAlignment="1" applyProtection="1">
      <alignment horizontal="center" vertical="center"/>
    </xf>
    <xf numFmtId="0" fontId="28" fillId="0" borderId="3" xfId="0" applyFont="1" applyBorder="1" applyAlignment="1" applyProtection="1">
      <alignment horizontal="center"/>
    </xf>
    <xf numFmtId="0" fontId="29" fillId="0" borderId="3" xfId="0" applyFont="1" applyBorder="1" applyAlignment="1" applyProtection="1">
      <alignment horizontal="center"/>
    </xf>
    <xf numFmtId="0" fontId="29" fillId="0" borderId="3" xfId="0" applyFont="1" applyBorder="1" applyAlignment="1" applyProtection="1">
      <alignment horizontal="left"/>
    </xf>
    <xf numFmtId="0" fontId="28" fillId="7" borderId="3" xfId="0" applyFont="1" applyFill="1" applyBorder="1" applyAlignment="1" applyProtection="1"/>
    <xf numFmtId="0" fontId="29" fillId="7" borderId="3" xfId="0" applyFont="1" applyFill="1" applyBorder="1" applyAlignment="1" applyProtection="1"/>
    <xf numFmtId="0" fontId="0" fillId="7" borderId="3" xfId="0" applyFont="1" applyFill="1" applyBorder="1" applyAlignment="1" applyProtection="1"/>
    <xf numFmtId="0" fontId="0" fillId="7" borderId="3" xfId="0" applyFill="1" applyBorder="1" applyAlignment="1" applyProtection="1"/>
    <xf numFmtId="0" fontId="30" fillId="7" borderId="3" xfId="0" applyFont="1" applyFill="1" applyBorder="1" applyAlignment="1" applyProtection="1">
      <alignment horizontal="center" vertical="center"/>
    </xf>
    <xf numFmtId="0" fontId="28" fillId="7" borderId="3" xfId="0" applyFont="1" applyFill="1" applyBorder="1" applyAlignment="1" applyProtection="1">
      <alignment horizontal="center"/>
    </xf>
    <xf numFmtId="0" fontId="29" fillId="7" borderId="3" xfId="0" applyFont="1" applyFill="1" applyBorder="1" applyAlignment="1" applyProtection="1">
      <alignment horizontal="center"/>
    </xf>
    <xf numFmtId="0" fontId="29" fillId="7" borderId="3" xfId="0" applyFont="1" applyFill="1" applyBorder="1" applyAlignment="1" applyProtection="1">
      <alignment horizontal="left"/>
    </xf>
    <xf numFmtId="0" fontId="33" fillId="6" borderId="3" xfId="0" applyFont="1" applyFill="1" applyBorder="1" applyAlignment="1" applyProtection="1">
      <alignment horizontal="center" vertical="center" wrapText="1"/>
    </xf>
    <xf numFmtId="0" fontId="29" fillId="0" borderId="3" xfId="0" applyFont="1" applyBorder="1" applyAlignment="1" applyProtection="1">
      <alignment horizontal="center" vertical="top" wrapText="1"/>
    </xf>
    <xf numFmtId="0" fontId="28" fillId="0" borderId="3" xfId="0" applyFont="1" applyBorder="1" applyAlignment="1" applyProtection="1">
      <alignment horizontal="left" vertical="top" wrapText="1"/>
    </xf>
    <xf numFmtId="0" fontId="28" fillId="8" borderId="3" xfId="0" applyFont="1" applyFill="1" applyBorder="1" applyAlignment="1" applyProtection="1">
      <alignment horizontal="center" vertical="top" wrapText="1"/>
    </xf>
    <xf numFmtId="0" fontId="29" fillId="0" borderId="3" xfId="0" applyFont="1" applyBorder="1" applyAlignment="1" applyProtection="1">
      <alignment horizontal="left" vertical="top" wrapText="1"/>
    </xf>
    <xf numFmtId="0" fontId="28" fillId="9" borderId="3" xfId="0" applyFont="1" applyFill="1" applyBorder="1" applyAlignment="1" applyProtection="1">
      <alignment horizontal="center" vertical="top" wrapText="1"/>
    </xf>
    <xf numFmtId="0" fontId="26" fillId="2" borderId="4" xfId="0" applyFont="1" applyFill="1" applyBorder="1" applyAlignment="1" applyProtection="1">
      <alignment horizontal="left" vertical="center"/>
    </xf>
    <xf numFmtId="0" fontId="26" fillId="2" borderId="4" xfId="0" applyFont="1" applyFill="1" applyBorder="1" applyAlignment="1" applyProtection="1">
      <alignment horizontal="center" vertical="center"/>
    </xf>
    <xf numFmtId="0" fontId="34" fillId="2" borderId="4" xfId="0" applyFont="1" applyFill="1" applyBorder="1" applyAlignment="1" applyProtection="1">
      <alignment horizontal="left" vertical="center"/>
    </xf>
    <xf numFmtId="0" fontId="35" fillId="2" borderId="0" xfId="0" applyFont="1" applyFill="1" applyAlignment="1" applyProtection="1"/>
    <xf numFmtId="0" fontId="36" fillId="2" borderId="2" xfId="0" applyFont="1" applyFill="1" applyBorder="1" applyAlignment="1" applyProtection="1">
      <alignment horizontal="left" vertical="center" indent="1"/>
    </xf>
    <xf numFmtId="0" fontId="20" fillId="2" borderId="0" xfId="0" applyFont="1" applyFill="1" applyAlignment="1" applyProtection="1">
      <alignment horizontal="left" vertical="top" wrapText="1"/>
    </xf>
    <xf numFmtId="0" fontId="38" fillId="0" borderId="0" xfId="0" applyFont="1" applyAlignment="1" applyProtection="1">
      <alignment horizontal="left" vertical="top" wrapText="1"/>
    </xf>
    <xf numFmtId="0" fontId="0" fillId="0" borderId="2" xfId="0" applyBorder="1" applyAlignment="1" applyProtection="1"/>
    <xf numFmtId="1" fontId="9" fillId="2" borderId="0" xfId="0" applyNumberFormat="1" applyFont="1" applyFill="1" applyBorder="1" applyAlignment="1" applyProtection="1">
      <alignment horizontal="center" vertical="center"/>
    </xf>
    <xf numFmtId="0" fontId="10" fillId="3" borderId="3" xfId="0" applyFont="1" applyFill="1" applyBorder="1" applyAlignment="1" applyProtection="1">
      <alignment horizontal="left" vertical="center"/>
    </xf>
    <xf numFmtId="0" fontId="11" fillId="3" borderId="3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0" fontId="18" fillId="4" borderId="4" xfId="0" applyFont="1" applyFill="1" applyBorder="1" applyAlignment="1" applyProtection="1">
      <alignment horizontal="center" vertical="center"/>
    </xf>
    <xf numFmtId="0" fontId="20" fillId="2" borderId="4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center" vertical="center"/>
    </xf>
    <xf numFmtId="0" fontId="7" fillId="2" borderId="4" xfId="0" applyFont="1" applyFill="1" applyBorder="1" applyAlignment="1" applyProtection="1">
      <alignment horizontal="center" vertical="center"/>
    </xf>
    <xf numFmtId="0" fontId="19" fillId="2" borderId="4" xfId="0" applyFont="1" applyFill="1" applyBorder="1" applyAlignment="1" applyProtection="1">
      <alignment horizontal="center" vertical="center"/>
    </xf>
    <xf numFmtId="0" fontId="7" fillId="5" borderId="0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 wrapText="1"/>
    </xf>
    <xf numFmtId="0" fontId="22" fillId="6" borderId="0" xfId="0" applyFont="1" applyFill="1" applyBorder="1" applyAlignment="1" applyProtection="1">
      <alignment horizontal="left" vertical="center" indent="1"/>
    </xf>
    <xf numFmtId="0" fontId="23" fillId="0" borderId="0" xfId="0" applyFont="1" applyBorder="1" applyAlignment="1" applyProtection="1"/>
    <xf numFmtId="0" fontId="21" fillId="2" borderId="0" xfId="0" applyFont="1" applyFill="1" applyBorder="1" applyAlignment="1" applyProtection="1">
      <alignment horizontal="left" vertical="center" indent="1"/>
    </xf>
    <xf numFmtId="0" fontId="31" fillId="4" borderId="0" xfId="0" applyFont="1" applyFill="1" applyBorder="1" applyAlignment="1" applyProtection="1">
      <alignment horizontal="left" vertical="center" indent="1"/>
    </xf>
    <xf numFmtId="0" fontId="32" fillId="0" borderId="0" xfId="0" applyFont="1" applyBorder="1" applyAlignment="1" applyProtection="1">
      <alignment horizontal="left" vertical="center" wrapText="1"/>
    </xf>
    <xf numFmtId="0" fontId="22" fillId="4" borderId="0" xfId="0" applyFont="1" applyFill="1" applyBorder="1" applyAlignment="1" applyProtection="1"/>
    <xf numFmtId="0" fontId="33" fillId="6" borderId="0" xfId="0" applyFont="1" applyFill="1" applyBorder="1" applyAlignment="1" applyProtection="1"/>
    <xf numFmtId="0" fontId="32" fillId="0" borderId="0" xfId="0" applyFont="1" applyBorder="1" applyAlignment="1" applyProtection="1">
      <alignment horizontal="left" vertical="top" wrapText="1"/>
    </xf>
    <xf numFmtId="0" fontId="37" fillId="2" borderId="1" xfId="0" applyFont="1" applyFill="1" applyBorder="1" applyAlignment="1" applyProtection="1"/>
    <xf numFmtId="0" fontId="36" fillId="2" borderId="2" xfId="0" applyFont="1" applyFill="1" applyBorder="1" applyAlignment="1" applyProtection="1">
      <alignment horizontal="left" vertical="center" indent="1"/>
    </xf>
    <xf numFmtId="0" fontId="35" fillId="2" borderId="0" xfId="0" applyFont="1" applyFill="1" applyBorder="1" applyAlignment="1" applyProtection="1"/>
  </cellXfs>
  <cellStyles count="1">
    <cellStyle name="Normal" xfId="0" builtinId="0"/>
  </cellStyles>
  <dxfs count="13">
    <dxf>
      <font>
        <color rgb="FF595959"/>
      </font>
    </dxf>
    <dxf>
      <font>
        <color rgb="FF808080"/>
      </font>
    </dxf>
    <dxf>
      <font>
        <b/>
        <color rgb="FF1F3864"/>
      </font>
    </dxf>
    <dxf>
      <fill>
        <patternFill>
          <bgColor rgb="FFF7F9FC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A"/>
      <rgbColor rgb="FFC6EFCE"/>
      <rgbColor rgb="FFFFEB9C"/>
      <rgbColor rgb="FFB3B3B3"/>
      <rgbColor rgb="FFF2F2F2"/>
      <rgbColor rgb="FFF7F9FC"/>
      <rgbColor rgb="FFFFC7CE"/>
      <rgbColor rgb="FF4472C4"/>
      <rgbColor rgb="FF33CCCC"/>
      <rgbColor rgb="FF70AD47"/>
      <rgbColor rgb="FFFFCC00"/>
      <rgbColor rgb="FFBF8F00"/>
      <rgbColor rgb="FFFF6600"/>
      <rgbColor rgb="FF595959"/>
      <rgbColor rgb="FF7F7F7F"/>
      <rgbColor rgb="FF1F3864"/>
      <rgbColor rgb="FF4F81BD"/>
      <rgbColor rgb="FF003300"/>
      <rgbColor rgb="FF33330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Deal Funnel — Buyers Reaching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Dashboard!$B$12:$J$12</c:f>
              <c:strCache>
                <c:ptCount val="9"/>
                <c:pt idx="0">
                  <c:v>1. Teaser</c:v>
                </c:pt>
                <c:pt idx="1">
                  <c:v>2. NDA</c:v>
                </c:pt>
                <c:pt idx="2">
                  <c:v>3. CIM Sent</c:v>
                </c:pt>
                <c:pt idx="3">
                  <c:v>4. IOI Received</c:v>
                </c:pt>
                <c:pt idx="4">
                  <c:v>5. Mgmt Meeting</c:v>
                </c:pt>
                <c:pt idx="5">
                  <c:v>6. LOI Signed</c:v>
                </c:pt>
                <c:pt idx="6">
                  <c:v>7. Diligence</c:v>
                </c:pt>
                <c:pt idx="7">
                  <c:v>8. Definitive Agmt</c:v>
                </c:pt>
                <c:pt idx="8">
                  <c:v>9. Close</c:v>
                </c:pt>
              </c:strCache>
            </c:strRef>
          </c:cat>
          <c:val>
            <c:numRef>
              <c:f>Dashboard!$B$13:$J$13</c:f>
              <c:numCache>
                <c:formatCode>General</c:formatCode>
                <c:ptCount val="9"/>
                <c:pt idx="0">
                  <c:v>122</c:v>
                </c:pt>
                <c:pt idx="1">
                  <c:v>70</c:v>
                </c:pt>
                <c:pt idx="2">
                  <c:v>70</c:v>
                </c:pt>
                <c:pt idx="3">
                  <c:v>23</c:v>
                </c:pt>
                <c:pt idx="4">
                  <c:v>13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8-42D2-BBCD-2E64D194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704887"/>
        <c:axId val="10059952"/>
      </c:barChart>
      <c:catAx>
        <c:axId val="137048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59952"/>
        <c:crosses val="autoZero"/>
        <c:auto val="1"/>
        <c:lblAlgn val="ctr"/>
        <c:lblOffset val="100"/>
        <c:noMultiLvlLbl val="0"/>
      </c:catAx>
      <c:valAx>
        <c:axId val="100599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Buyers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048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Pipeline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61-4974-B4F5-6E0A0CFE481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61-4974-B4F5-6E0A0CFE481C}"/>
              </c:ext>
            </c:extLst>
          </c:dPt>
          <c:dPt>
            <c:idx val="2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261-4974-B4F5-6E0A0CFE481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261-4974-B4F5-6E0A0CFE481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261-4974-B4F5-6E0A0CFE481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261-4974-B4F5-6E0A0CFE4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Dashboard!$B$57:$B$59</c:f>
              <c:strCache>
                <c:ptCount val="3"/>
                <c:pt idx="0">
                  <c:v>Active</c:v>
                </c:pt>
                <c:pt idx="1">
                  <c:v>Declined / Passed</c:v>
                </c:pt>
                <c:pt idx="2">
                  <c:v>Not Contacted / Other</c:v>
                </c:pt>
              </c:strCache>
            </c:strRef>
          </c:cat>
          <c:val>
            <c:numRef>
              <c:f>Dashboard!$C$57:$C$59</c:f>
              <c:numCache>
                <c:formatCode>General</c:formatCode>
                <c:ptCount val="3"/>
                <c:pt idx="0">
                  <c:v>1</c:v>
                </c:pt>
                <c:pt idx="1">
                  <c:v>93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61-4974-B4F5-6E0A0CFE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Indicative Valuation Range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Dashboard!$E$57:$E$59</c:f>
              <c:strCache>
                <c:ptCount val="3"/>
                <c:pt idx="0">
                  <c:v>Low</c:v>
                </c:pt>
                <c:pt idx="1">
                  <c:v>Average</c:v>
                </c:pt>
                <c:pt idx="2">
                  <c:v>High</c:v>
                </c:pt>
              </c:strCache>
            </c:strRef>
          </c:cat>
          <c:val>
            <c:numRef>
              <c:f>Dashboard!$F$57:$F$59</c:f>
              <c:numCache>
                <c:formatCode>\$#,##0.0"mm"</c:formatCode>
                <c:ptCount val="3"/>
                <c:pt idx="0">
                  <c:v>7</c:v>
                </c:pt>
                <c:pt idx="1">
                  <c:v>10.6586956521739</c:v>
                </c:pt>
                <c:pt idx="2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0-4A21-A53F-D325ED17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416204"/>
        <c:axId val="37577006"/>
      </c:barChart>
      <c:catAx>
        <c:axId val="84162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77006"/>
        <c:crosses val="autoZero"/>
        <c:auto val="1"/>
        <c:lblAlgn val="ctr"/>
        <c:lblOffset val="100"/>
        <c:noMultiLvlLbl val="0"/>
      </c:catAx>
      <c:valAx>
        <c:axId val="375770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&quot;mm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6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7</xdr:col>
      <xdr:colOff>198360</xdr:colOff>
      <xdr:row>53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4</xdr:col>
      <xdr:colOff>278640</xdr:colOff>
      <xdr:row>74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59</xdr:row>
      <xdr:rowOff>0</xdr:rowOff>
    </xdr:from>
    <xdr:to>
      <xdr:col>9</xdr:col>
      <xdr:colOff>279000</xdr:colOff>
      <xdr:row>74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tabSelected="1" showGridLines="0" zoomScaleNormal="100" workbookViewId="0">
      <selection activeCell="A1" sqref="A1"/>
    </sheetView>
  </sheetViews>
  <sheetFormatPr defaultColWidth="8.7109375" defaultRowHeight="15"/>
  <cols>
    <col min="1" max="1" width="3" style="15" customWidth="1"/>
    <col min="2" max="10" width="14" style="15" customWidth="1"/>
    <col min="11" max="11" width="3" style="15" customWidth="1"/>
  </cols>
  <sheetData>
    <row r="1" spans="1:11" ht="6" customHeight="1">
      <c r="A1" s="16"/>
      <c r="B1" s="8"/>
      <c r="C1" s="8"/>
      <c r="D1" s="8"/>
      <c r="E1" s="8"/>
      <c r="F1" s="8"/>
      <c r="G1" s="8"/>
      <c r="H1" s="8"/>
      <c r="I1" s="8"/>
      <c r="J1" s="8"/>
      <c r="K1" s="16"/>
    </row>
    <row r="2" spans="1:11" ht="21.75" customHeight="1">
      <c r="A2" s="16"/>
      <c r="B2" s="7" t="s">
        <v>0</v>
      </c>
      <c r="C2" s="7"/>
      <c r="D2" s="7"/>
      <c r="E2" s="7"/>
      <c r="F2" s="7"/>
      <c r="G2" s="7"/>
      <c r="H2" s="7"/>
      <c r="I2" s="7"/>
      <c r="J2" s="7"/>
      <c r="K2" s="16"/>
    </row>
    <row r="3" spans="1:11" ht="18" customHeight="1">
      <c r="A3" s="16"/>
      <c r="B3" s="6" t="s">
        <v>1</v>
      </c>
      <c r="C3" s="6"/>
      <c r="D3" s="6"/>
      <c r="E3" s="6"/>
      <c r="F3" s="6"/>
      <c r="G3" s="6"/>
      <c r="H3" s="6"/>
      <c r="I3" s="6"/>
      <c r="J3" s="6"/>
      <c r="K3" s="16"/>
    </row>
    <row r="4" spans="1:11" ht="6" customHeight="1">
      <c r="A4" s="16"/>
      <c r="B4" s="5"/>
      <c r="C4" s="5"/>
      <c r="D4" s="5"/>
      <c r="E4" s="5"/>
      <c r="F4" s="5"/>
      <c r="G4" s="5"/>
      <c r="H4" s="5"/>
      <c r="I4" s="5"/>
      <c r="J4" s="5"/>
      <c r="K4" s="16"/>
    </row>
    <row r="5" spans="1:11" ht="6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15" customHeight="1">
      <c r="A6" s="16"/>
      <c r="B6" s="4"/>
      <c r="C6" s="4"/>
      <c r="D6" s="4"/>
      <c r="E6" s="4"/>
      <c r="F6" s="3" t="s">
        <v>2</v>
      </c>
      <c r="G6" s="3"/>
      <c r="H6" s="3"/>
      <c r="I6" s="26">
        <v>46244</v>
      </c>
      <c r="J6" s="2"/>
      <c r="K6" s="16"/>
    </row>
    <row r="7" spans="1:11" ht="7.5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6"/>
    </row>
    <row r="8" spans="1:11" ht="15" customHeight="1">
      <c r="A8" s="16"/>
      <c r="B8" s="1" t="s">
        <v>3</v>
      </c>
      <c r="C8" s="1"/>
      <c r="D8" s="1" t="s">
        <v>4</v>
      </c>
      <c r="E8" s="1"/>
      <c r="F8" s="1" t="s">
        <v>5</v>
      </c>
      <c r="G8" s="1"/>
      <c r="H8" s="1" t="s">
        <v>6</v>
      </c>
      <c r="I8" s="1"/>
      <c r="J8" s="1" t="s">
        <v>7</v>
      </c>
      <c r="K8" s="1"/>
    </row>
    <row r="9" spans="1:11" ht="25.5" customHeight="1">
      <c r="A9" s="16"/>
      <c r="B9" s="71">
        <f>COUNTA('Buyer Tracker'!B4:B141)</f>
        <v>138</v>
      </c>
      <c r="C9" s="71"/>
      <c r="D9" s="71">
        <f>COUNT('Buyer Tracker'!$J$4:$J$141)</f>
        <v>70</v>
      </c>
      <c r="E9" s="71"/>
      <c r="F9" s="71">
        <f>COUNT('Buyer Tracker'!$K$4:$K$141)</f>
        <v>70</v>
      </c>
      <c r="G9" s="71"/>
      <c r="H9" s="71">
        <f>COUNT('Buyer Tracker'!$L$4:$L$141)</f>
        <v>23</v>
      </c>
      <c r="I9" s="71"/>
      <c r="J9" s="71">
        <f>COUNT('Buyer Tracker'!$O$4:$O$141)</f>
        <v>13</v>
      </c>
      <c r="K9" s="71"/>
    </row>
    <row r="10" spans="1:11" ht="18" customHeight="1">
      <c r="A10" s="16"/>
      <c r="B10" s="72" t="s">
        <v>8</v>
      </c>
      <c r="C10" s="72"/>
      <c r="D10" s="72"/>
      <c r="E10" s="72"/>
      <c r="F10" s="72"/>
      <c r="G10" s="73" t="str">
        <f>COUNTIF('Buyer Tracker'!$U$4:$U$141,"Not Contacted")&amp;" buyers"</f>
        <v>16 buyers</v>
      </c>
      <c r="H10" s="73"/>
      <c r="I10" s="74" t="s">
        <v>9</v>
      </c>
      <c r="J10" s="74"/>
      <c r="K10" s="16"/>
    </row>
    <row r="11" spans="1:11" ht="15.75" customHeight="1">
      <c r="A11" s="16"/>
      <c r="B11" s="75" t="s">
        <v>10</v>
      </c>
      <c r="C11" s="75"/>
      <c r="D11" s="75"/>
      <c r="E11" s="75"/>
      <c r="F11" s="75"/>
      <c r="G11" s="75"/>
      <c r="H11" s="75"/>
      <c r="I11" s="75"/>
      <c r="J11" s="75"/>
      <c r="K11" s="16"/>
    </row>
    <row r="12" spans="1:11" ht="25.5" customHeight="1">
      <c r="A12" s="16"/>
      <c r="B12" s="18" t="s">
        <v>820</v>
      </c>
      <c r="C12" s="18" t="s">
        <v>821</v>
      </c>
      <c r="D12" s="18" t="s">
        <v>13</v>
      </c>
      <c r="E12" s="18" t="s">
        <v>14</v>
      </c>
      <c r="F12" s="18" t="s">
        <v>15</v>
      </c>
      <c r="G12" s="18" t="s">
        <v>16</v>
      </c>
      <c r="H12" s="18" t="s">
        <v>17</v>
      </c>
      <c r="I12" s="18" t="s">
        <v>18</v>
      </c>
      <c r="J12" s="18" t="s">
        <v>19</v>
      </c>
      <c r="K12" s="16"/>
    </row>
    <row r="13" spans="1:11" ht="24" customHeight="1">
      <c r="A13" s="16"/>
      <c r="B13" s="19">
        <f>COUNT('Buyer Tracker'!$I$4:$I$141)</f>
        <v>122</v>
      </c>
      <c r="C13" s="19">
        <f>COUNT('Buyer Tracker'!$J$4:$J$141)</f>
        <v>70</v>
      </c>
      <c r="D13" s="19">
        <f>COUNT('Buyer Tracker'!$K$4:$K$141)</f>
        <v>70</v>
      </c>
      <c r="E13" s="19">
        <f>COUNT('Buyer Tracker'!$L$4:$L$141)</f>
        <v>23</v>
      </c>
      <c r="F13" s="19">
        <f>COUNT('Buyer Tracker'!$O$4:$O$141)</f>
        <v>13</v>
      </c>
      <c r="G13" s="19">
        <f>COUNT('Buyer Tracker'!$P$4:$P$141)</f>
        <v>1</v>
      </c>
      <c r="H13" s="19">
        <f>COUNT('Buyer Tracker'!$Q$4:$Q$141)</f>
        <v>1</v>
      </c>
      <c r="I13" s="19">
        <f>COUNT('Buyer Tracker'!$S$4:$S$141)</f>
        <v>0</v>
      </c>
      <c r="J13" s="19">
        <f>COUNT('Buyer Tracker'!$T$4:$T$141)</f>
        <v>0</v>
      </c>
      <c r="K13" s="16"/>
    </row>
    <row r="14" spans="1:11" ht="12" customHeight="1">
      <c r="A14" s="16"/>
      <c r="B14" s="20" t="s">
        <v>20</v>
      </c>
      <c r="C14" s="21">
        <f>IFERROR(C13/B13,0)</f>
        <v>0.573770491803279</v>
      </c>
      <c r="D14" s="21">
        <f>IFERROR(D13/C13,0)</f>
        <v>1</v>
      </c>
      <c r="E14" s="21">
        <f>IFERROR(E13/D13,0)</f>
        <v>0.328571428571429</v>
      </c>
      <c r="F14" s="21">
        <f>IFERROR(F13/E13,0)</f>
        <v>0.565217391304348</v>
      </c>
      <c r="G14" s="21">
        <f>IFERROR(G13/F13,0)</f>
        <v>0.0769230769230769</v>
      </c>
      <c r="H14" s="21">
        <f>IFERROR(H13/G13,0)</f>
        <v>1</v>
      </c>
      <c r="I14" s="21">
        <f>IFERROR(I13/H13,0)</f>
        <v>0</v>
      </c>
      <c r="J14" s="21">
        <f>IFERROR(J13/I13,0)</f>
        <v>0</v>
      </c>
      <c r="K14" s="16"/>
    </row>
    <row r="15" spans="1:11" ht="7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5.75" customHeight="1">
      <c r="A16" s="16"/>
      <c r="B16" s="75" t="s">
        <v>21</v>
      </c>
      <c r="C16" s="75"/>
      <c r="D16" s="75"/>
      <c r="E16" s="75"/>
      <c r="F16" s="75"/>
      <c r="G16" s="75"/>
      <c r="H16" s="75"/>
      <c r="I16" s="75"/>
      <c r="J16" s="75"/>
      <c r="K16" s="16"/>
    </row>
    <row r="17" spans="1:11" ht="19.5" customHeight="1">
      <c r="A17" s="16"/>
      <c r="B17" s="76" t="s">
        <v>22</v>
      </c>
      <c r="C17" s="76"/>
      <c r="D17" s="22">
        <f>COUNTIF('Buyer Tracker'!$U$4:$U$141,"Active*")</f>
        <v>1</v>
      </c>
      <c r="E17" s="76" t="s">
        <v>23</v>
      </c>
      <c r="F17" s="76"/>
      <c r="G17" s="22">
        <f>COUNTIF('Buyer Tracker'!$U$4:$U$141,"Declined")+COUNTIF('Buyer Tracker'!$U$4:$U$141,"Passed")</f>
        <v>93</v>
      </c>
      <c r="H17" s="76" t="s">
        <v>24</v>
      </c>
      <c r="I17" s="76"/>
      <c r="J17" s="22">
        <f>COUNTIF('Buyer Tracker'!$U$4:$U$141,"No Response")+COUNTIF('Buyer Tracker'!$U$4:$U$141,"On Hold")+COUNTIF('Buyer Tracker'!$U$4:$U$141,"Not Contacted")</f>
        <v>44</v>
      </c>
      <c r="K17" s="16"/>
    </row>
    <row r="18" spans="1:11" ht="7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5.75" customHeight="1">
      <c r="A19" s="16"/>
      <c r="B19" s="75" t="s">
        <v>25</v>
      </c>
      <c r="C19" s="75"/>
      <c r="D19" s="75"/>
      <c r="E19" s="75"/>
      <c r="F19" s="75"/>
      <c r="G19" s="75"/>
      <c r="H19" s="75"/>
      <c r="I19" s="75"/>
      <c r="J19" s="75"/>
      <c r="K19" s="16"/>
    </row>
    <row r="20" spans="1:11" ht="19.5" customHeight="1">
      <c r="A20" s="16"/>
      <c r="B20" s="76" t="s">
        <v>26</v>
      </c>
      <c r="C20" s="76"/>
      <c r="D20" s="23">
        <f>IFERROR(MIN('Buyer Tracker'!$M$4:$M$141),"n/a")</f>
        <v>7</v>
      </c>
      <c r="E20" s="76" t="s">
        <v>27</v>
      </c>
      <c r="F20" s="76"/>
      <c r="G20" s="23">
        <f>IFERROR((AVERAGE('Buyer Tracker'!$M$4:$M$141)+AVERAGE('Buyer Tracker'!$N$4:$N$141))/2,"n/a")</f>
        <v>10.6586956521739</v>
      </c>
      <c r="H20" s="76" t="s">
        <v>28</v>
      </c>
      <c r="I20" s="76"/>
      <c r="J20" s="23">
        <f>IFERROR(MAX('Buyer Tracker'!$N$4:$N$141),"n/a")</f>
        <v>13.7</v>
      </c>
      <c r="K20" s="16"/>
    </row>
    <row r="21" spans="1:11" ht="7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5.75" customHeight="1">
      <c r="A22" s="16"/>
      <c r="B22" s="75" t="s">
        <v>29</v>
      </c>
      <c r="C22" s="75"/>
      <c r="D22" s="75"/>
      <c r="E22" s="75"/>
      <c r="F22" s="75"/>
      <c r="G22" s="75"/>
      <c r="H22" s="75"/>
      <c r="I22" s="75"/>
      <c r="J22" s="75"/>
      <c r="K22" s="16"/>
    </row>
    <row r="23" spans="1:11" ht="15" customHeight="1">
      <c r="A23" s="16"/>
      <c r="B23" s="24" t="s">
        <v>30</v>
      </c>
      <c r="C23" s="77" t="s">
        <v>31</v>
      </c>
      <c r="D23" s="77"/>
      <c r="E23" s="77"/>
      <c r="F23" s="24" t="s">
        <v>32</v>
      </c>
      <c r="G23" s="24" t="s">
        <v>33</v>
      </c>
      <c r="H23" s="77" t="s">
        <v>34</v>
      </c>
      <c r="I23" s="77"/>
      <c r="J23" s="77"/>
      <c r="K23" s="16"/>
    </row>
    <row r="24" spans="1:11" ht="15.75" customHeight="1">
      <c r="A24" s="16"/>
      <c r="B24" s="25">
        <v>1</v>
      </c>
      <c r="C24" s="78" t="s">
        <v>37</v>
      </c>
      <c r="D24" s="78"/>
      <c r="E24" s="78"/>
      <c r="F24" s="26">
        <v>46083</v>
      </c>
      <c r="G24" s="26">
        <v>46083</v>
      </c>
      <c r="H24" s="79" t="s">
        <v>36</v>
      </c>
      <c r="I24" s="79"/>
      <c r="J24" s="79"/>
      <c r="K24" s="16"/>
    </row>
    <row r="25" spans="1:11" ht="15.75" customHeight="1">
      <c r="A25" s="16"/>
      <c r="B25" s="25">
        <v>2</v>
      </c>
      <c r="C25" s="78" t="s">
        <v>35</v>
      </c>
      <c r="D25" s="78"/>
      <c r="E25" s="78"/>
      <c r="F25" s="26">
        <v>46097</v>
      </c>
      <c r="G25" s="26">
        <v>46106</v>
      </c>
      <c r="H25" s="79" t="s">
        <v>36</v>
      </c>
      <c r="I25" s="79"/>
      <c r="J25" s="79"/>
      <c r="K25" s="16"/>
    </row>
    <row r="26" spans="1:11" ht="15.75" customHeight="1">
      <c r="A26" s="16"/>
      <c r="B26" s="25">
        <v>3</v>
      </c>
      <c r="C26" s="78" t="s">
        <v>38</v>
      </c>
      <c r="D26" s="78"/>
      <c r="E26" s="78"/>
      <c r="F26" s="26">
        <v>46127</v>
      </c>
      <c r="G26" s="26">
        <v>46127</v>
      </c>
      <c r="H26" s="79" t="s">
        <v>36</v>
      </c>
      <c r="I26" s="79"/>
      <c r="J26" s="79"/>
      <c r="K26" s="16"/>
    </row>
    <row r="27" spans="1:11" ht="15.75" customHeight="1">
      <c r="A27" s="16"/>
      <c r="B27" s="25">
        <v>4</v>
      </c>
      <c r="C27" s="78" t="s">
        <v>39</v>
      </c>
      <c r="D27" s="78"/>
      <c r="E27" s="78"/>
      <c r="F27" s="26">
        <v>46188</v>
      </c>
      <c r="G27" s="26">
        <v>46191</v>
      </c>
      <c r="H27" s="79" t="s">
        <v>36</v>
      </c>
      <c r="I27" s="79"/>
      <c r="J27" s="79"/>
      <c r="K27" s="16"/>
    </row>
    <row r="28" spans="1:11" ht="15.75" customHeight="1">
      <c r="A28" s="16"/>
      <c r="B28" s="25">
        <v>5</v>
      </c>
      <c r="C28" s="78" t="s">
        <v>40</v>
      </c>
      <c r="D28" s="78"/>
      <c r="E28" s="78"/>
      <c r="F28" s="26">
        <v>46218</v>
      </c>
      <c r="G28" s="26">
        <v>46221</v>
      </c>
      <c r="H28" s="79" t="s">
        <v>36</v>
      </c>
      <c r="I28" s="79"/>
      <c r="J28" s="79"/>
      <c r="K28" s="16"/>
    </row>
    <row r="29" spans="1:11" ht="15.75" customHeight="1">
      <c r="A29" s="16"/>
      <c r="B29" s="25">
        <v>6</v>
      </c>
      <c r="C29" s="78" t="s">
        <v>41</v>
      </c>
      <c r="D29" s="78"/>
      <c r="E29" s="78"/>
      <c r="F29" s="26">
        <v>46223</v>
      </c>
      <c r="G29" s="26">
        <v>46224</v>
      </c>
      <c r="H29" s="79" t="s">
        <v>36</v>
      </c>
      <c r="I29" s="79"/>
      <c r="J29" s="79"/>
      <c r="K29" s="16"/>
    </row>
    <row r="30" spans="1:11" ht="15.75" customHeight="1">
      <c r="A30" s="16"/>
      <c r="B30" s="25">
        <v>7</v>
      </c>
      <c r="C30" s="78" t="s">
        <v>42</v>
      </c>
      <c r="D30" s="78"/>
      <c r="E30" s="78"/>
      <c r="F30" s="26">
        <v>46276</v>
      </c>
      <c r="G30" s="27" t="s">
        <v>43</v>
      </c>
      <c r="H30" s="80" t="s">
        <v>44</v>
      </c>
      <c r="I30" s="80"/>
      <c r="J30" s="80"/>
      <c r="K30" s="16"/>
    </row>
    <row r="31" spans="1:11" ht="15.75" customHeight="1">
      <c r="A31" s="16"/>
      <c r="B31" s="25">
        <v>8</v>
      </c>
      <c r="C31" s="78" t="s">
        <v>45</v>
      </c>
      <c r="D31" s="78"/>
      <c r="E31" s="78"/>
      <c r="F31" s="26">
        <v>46283</v>
      </c>
      <c r="G31" s="27" t="s">
        <v>43</v>
      </c>
      <c r="H31" s="81" t="s">
        <v>46</v>
      </c>
      <c r="I31" s="81"/>
      <c r="J31" s="81"/>
      <c r="K31" s="16"/>
    </row>
    <row r="32" spans="1:11" ht="15.75" customHeight="1">
      <c r="A32" s="16"/>
      <c r="B32" s="25">
        <v>9</v>
      </c>
      <c r="C32" s="78" t="s">
        <v>47</v>
      </c>
      <c r="D32" s="78"/>
      <c r="E32" s="78"/>
      <c r="F32" s="26">
        <v>46326</v>
      </c>
      <c r="G32" s="27" t="s">
        <v>43</v>
      </c>
      <c r="H32" s="81" t="s">
        <v>46</v>
      </c>
      <c r="I32" s="81"/>
      <c r="J32" s="81"/>
      <c r="K32" s="16"/>
    </row>
    <row r="33" spans="1:11" ht="7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27.75" customHeight="1">
      <c r="A34" s="16"/>
      <c r="B34" s="82" t="str">
        <f>"Current stage: 7 — Diligence (in progress, "&amp;COUNTIF('Diligence Checklist'!E4:E29,"Complete")&amp;" of "&amp;COUNTA('Diligence Checklist'!E4:E29)&amp;" items complete). Lead buyer B001 under 60-day exclusivity from 21-Jul-2026 (to 19-Sep-2026); definitive agreement targeted 18-Sep-2026, close 31-Oct-2026."</f>
        <v>Current stage: 7 — Diligence (in progress, 9 of 26 items complete). Lead buyer B001 under 60-day exclusivity from 21-Jul-2026 (to 19-Sep-2026); definitive agreement targeted 18-Sep-2026, close 31-Oct-2026.</v>
      </c>
      <c r="C34" s="82"/>
      <c r="D34" s="82"/>
      <c r="E34" s="82"/>
      <c r="F34" s="82"/>
      <c r="G34" s="82"/>
      <c r="H34" s="82"/>
      <c r="I34" s="82"/>
      <c r="J34" s="82"/>
      <c r="K34" s="16"/>
    </row>
    <row r="35" spans="1:11" ht="1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25.5" customHeight="1">
      <c r="A36" s="16"/>
      <c r="B36" s="83" t="s">
        <v>823</v>
      </c>
      <c r="C36" s="83"/>
      <c r="D36" s="83"/>
      <c r="E36" s="83"/>
      <c r="F36" s="83"/>
      <c r="G36" s="83"/>
      <c r="H36" s="83"/>
      <c r="I36" s="83"/>
      <c r="J36" s="83"/>
      <c r="K36" s="16"/>
    </row>
    <row r="38" spans="1:11" ht="15.75" customHeight="1">
      <c r="B38" s="84" t="s">
        <v>50</v>
      </c>
      <c r="C38" s="84"/>
      <c r="D38" s="84"/>
      <c r="E38" s="84"/>
      <c r="F38" s="84"/>
      <c r="G38" s="84"/>
      <c r="H38" s="84"/>
      <c r="I38" s="84"/>
      <c r="J38" s="84"/>
    </row>
    <row r="56" spans="2:10" ht="10.5" customHeight="1">
      <c r="B56" s="85" t="s">
        <v>51</v>
      </c>
      <c r="C56" s="85"/>
      <c r="D56" s="85"/>
      <c r="E56" s="85"/>
      <c r="F56" s="85"/>
      <c r="G56" s="85"/>
      <c r="H56" s="85"/>
      <c r="I56" s="85"/>
      <c r="J56" s="85"/>
    </row>
    <row r="57" spans="2:10">
      <c r="B57" s="28" t="s">
        <v>52</v>
      </c>
      <c r="C57" s="28">
        <f>D17</f>
        <v>1</v>
      </c>
      <c r="E57" s="28" t="s">
        <v>53</v>
      </c>
      <c r="F57" s="29">
        <f>D20</f>
        <v>7</v>
      </c>
    </row>
    <row r="58" spans="2:10">
      <c r="B58" s="28" t="s">
        <v>23</v>
      </c>
      <c r="C58" s="28">
        <f>G17</f>
        <v>93</v>
      </c>
      <c r="E58" s="28" t="s">
        <v>54</v>
      </c>
      <c r="F58" s="29">
        <f>G20</f>
        <v>10.6586956521739</v>
      </c>
    </row>
    <row r="59" spans="2:10">
      <c r="B59" s="28" t="s">
        <v>55</v>
      </c>
      <c r="C59" s="28">
        <f>J17</f>
        <v>44</v>
      </c>
      <c r="E59" s="28" t="s">
        <v>56</v>
      </c>
      <c r="F59" s="29">
        <f>J20</f>
        <v>13.7</v>
      </c>
    </row>
  </sheetData>
  <mergeCells count="54">
    <mergeCell ref="B36:J36"/>
    <mergeCell ref="B38:J38"/>
    <mergeCell ref="B56:J56"/>
    <mergeCell ref="C31:E31"/>
    <mergeCell ref="H31:J31"/>
    <mergeCell ref="C32:E32"/>
    <mergeCell ref="H32:J32"/>
    <mergeCell ref="B34:J34"/>
    <mergeCell ref="C28:E28"/>
    <mergeCell ref="H28:J28"/>
    <mergeCell ref="C29:E29"/>
    <mergeCell ref="H29:J29"/>
    <mergeCell ref="C30:E30"/>
    <mergeCell ref="H30:J30"/>
    <mergeCell ref="C25:E25"/>
    <mergeCell ref="H25:J25"/>
    <mergeCell ref="C26:E26"/>
    <mergeCell ref="H26:J26"/>
    <mergeCell ref="C27:E27"/>
    <mergeCell ref="H27:J27"/>
    <mergeCell ref="B22:J22"/>
    <mergeCell ref="C23:E23"/>
    <mergeCell ref="H23:J23"/>
    <mergeCell ref="C24:E24"/>
    <mergeCell ref="H24:J24"/>
    <mergeCell ref="B17:C17"/>
    <mergeCell ref="E17:F17"/>
    <mergeCell ref="H17:I17"/>
    <mergeCell ref="B19:J19"/>
    <mergeCell ref="B20:C20"/>
    <mergeCell ref="E20:F20"/>
    <mergeCell ref="H20:I20"/>
    <mergeCell ref="B10:F10"/>
    <mergeCell ref="G10:H10"/>
    <mergeCell ref="I10:J10"/>
    <mergeCell ref="B11:J11"/>
    <mergeCell ref="B16:J16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1:J1"/>
    <mergeCell ref="B2:J2"/>
    <mergeCell ref="B3:J3"/>
    <mergeCell ref="B4:J4"/>
    <mergeCell ref="B6:E6"/>
    <mergeCell ref="F6:H6"/>
    <mergeCell ref="I6:J6"/>
  </mergeCells>
  <pageMargins left="0.75" right="0.75" top="1" bottom="1" header="0.511811023622047" footer="0.511811023622047"/>
  <pageSetup fitToHeight="0" orientation="portrait" horizontalDpi="300" verticalDpi="300"/>
  <rowBreaks count="2" manualBreakCount="2">
    <brk id="37" max="16383" man="1"/>
    <brk id="5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41"/>
  <sheetViews>
    <sheetView showGridLines="0" zoomScaleNormal="10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10" style="15" customWidth="1"/>
    <col min="2" max="2" width="26" style="15" customWidth="1"/>
    <col min="3" max="3" width="13" style="15" customWidth="1"/>
    <col min="4" max="4" width="8" style="15" customWidth="1"/>
    <col min="5" max="5" width="16" style="15" customWidth="1"/>
    <col min="6" max="6" width="26" style="15" customWidth="1"/>
    <col min="7" max="7" width="13" style="15" customWidth="1"/>
    <col min="8" max="11" width="12" style="15" customWidth="1"/>
    <col min="12" max="12" width="13" style="15" customWidth="1"/>
    <col min="13" max="14" width="12" style="15" customWidth="1"/>
    <col min="15" max="15" width="13" style="15" customWidth="1"/>
    <col min="16" max="16" width="12" style="15" customWidth="1"/>
    <col min="17" max="17" width="13" style="15" customWidth="1"/>
    <col min="18" max="18" width="10" style="15" customWidth="1"/>
    <col min="19" max="19" width="13" style="15" customWidth="1"/>
    <col min="20" max="20" width="12" style="15" customWidth="1"/>
    <col min="21" max="21" width="16" style="15" customWidth="1"/>
    <col min="22" max="22" width="20" style="15" customWidth="1"/>
    <col min="23" max="23" width="14" style="15" customWidth="1"/>
    <col min="24" max="24" width="34" style="15" customWidth="1"/>
  </cols>
  <sheetData>
    <row r="1" spans="1:24" ht="21.75" customHeight="1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3.5" customHeight="1">
      <c r="A2" s="86" t="s">
        <v>808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</row>
    <row r="3" spans="1:24" ht="30" customHeight="1">
      <c r="A3" s="30" t="s">
        <v>59</v>
      </c>
      <c r="B3" s="30" t="s">
        <v>60</v>
      </c>
      <c r="C3" s="30" t="s">
        <v>61</v>
      </c>
      <c r="D3" s="30" t="s">
        <v>62</v>
      </c>
      <c r="E3" s="30" t="s">
        <v>63</v>
      </c>
      <c r="F3" s="30" t="s">
        <v>64</v>
      </c>
      <c r="G3" s="30" t="s">
        <v>65</v>
      </c>
      <c r="H3" s="30" t="s">
        <v>66</v>
      </c>
      <c r="I3" s="30" t="s">
        <v>806</v>
      </c>
      <c r="J3" s="30" t="s">
        <v>807</v>
      </c>
      <c r="K3" s="30" t="s">
        <v>13</v>
      </c>
      <c r="L3" s="30" t="s">
        <v>14</v>
      </c>
      <c r="M3" s="30" t="s">
        <v>69</v>
      </c>
      <c r="N3" s="30" t="s">
        <v>70</v>
      </c>
      <c r="O3" s="30" t="s">
        <v>15</v>
      </c>
      <c r="P3" s="30" t="s">
        <v>16</v>
      </c>
      <c r="Q3" s="30" t="s">
        <v>71</v>
      </c>
      <c r="R3" s="30" t="s">
        <v>72</v>
      </c>
      <c r="S3" s="30" t="s">
        <v>18</v>
      </c>
      <c r="T3" s="30" t="s">
        <v>73</v>
      </c>
      <c r="U3" s="30" t="s">
        <v>34</v>
      </c>
      <c r="V3" s="30" t="s">
        <v>74</v>
      </c>
      <c r="W3" s="30" t="s">
        <v>75</v>
      </c>
      <c r="X3" s="30" t="s">
        <v>76</v>
      </c>
    </row>
    <row r="4" spans="1:24" ht="15" customHeight="1">
      <c r="A4" s="31" t="s">
        <v>77</v>
      </c>
      <c r="B4" s="32" t="s">
        <v>78</v>
      </c>
      <c r="C4" s="33" t="s">
        <v>79</v>
      </c>
      <c r="D4" s="33" t="s">
        <v>80</v>
      </c>
      <c r="E4" s="32" t="s">
        <v>81</v>
      </c>
      <c r="F4" s="32" t="s">
        <v>82</v>
      </c>
      <c r="G4" s="34">
        <v>46107</v>
      </c>
      <c r="H4" s="34">
        <v>46111</v>
      </c>
      <c r="I4" s="34">
        <v>46107</v>
      </c>
      <c r="J4" s="34">
        <v>46117</v>
      </c>
      <c r="K4" s="34">
        <v>46125</v>
      </c>
      <c r="L4" s="34">
        <v>46171</v>
      </c>
      <c r="M4" s="35">
        <v>11.6</v>
      </c>
      <c r="N4" s="35">
        <v>13.4</v>
      </c>
      <c r="O4" s="34">
        <v>46210</v>
      </c>
      <c r="P4" s="34">
        <v>46224</v>
      </c>
      <c r="Q4" s="34">
        <v>46231</v>
      </c>
      <c r="R4" s="36">
        <f>'Diligence Checklist'!F32</f>
        <v>0.346153846153846</v>
      </c>
      <c r="S4" s="37"/>
      <c r="T4" s="37"/>
      <c r="U4" s="38" t="s">
        <v>83</v>
      </c>
      <c r="V4" s="39" t="str">
        <f>IF(T4&lt;&gt;"","9 - Closed",IF(S4&lt;&gt;"","8 - Definitive Agreement",IF(Q4&lt;&gt;"","7 - Diligence",IF(P4&lt;&gt;"","6 - LOI Signed",IF(O4&lt;&gt;"","5 - Mgmt Meeting",IF(L4&lt;&gt;"","4 - IOI Received",IF(K4&lt;&gt;"","3 - CIM Sent",IF(J4&lt;&gt;"","2 - NDA Signed",IF(I4&lt;&gt;"","1 - Teaser Sent","0 - Not Contacted")))))))))</f>
        <v>7 - Diligence</v>
      </c>
      <c r="W4" s="39">
        <f>IF(COUNT(G4:T4)=0,"-",Dashboard!$I$6-MAX(G4:T4))</f>
        <v>13</v>
      </c>
      <c r="X4" s="40" t="s">
        <v>809</v>
      </c>
    </row>
    <row r="5" spans="1:24" ht="15" customHeight="1">
      <c r="A5" s="31" t="s">
        <v>85</v>
      </c>
      <c r="B5" s="32" t="s">
        <v>86</v>
      </c>
      <c r="C5" s="33" t="s">
        <v>79</v>
      </c>
      <c r="D5" s="33" t="s">
        <v>80</v>
      </c>
      <c r="E5" s="32" t="s">
        <v>87</v>
      </c>
      <c r="F5" s="32" t="s">
        <v>88</v>
      </c>
      <c r="G5" s="34">
        <v>46091</v>
      </c>
      <c r="H5" s="34">
        <v>46095</v>
      </c>
      <c r="I5" s="34">
        <v>46091</v>
      </c>
      <c r="J5" s="34">
        <v>46105</v>
      </c>
      <c r="K5" s="34">
        <v>46113</v>
      </c>
      <c r="L5" s="34">
        <v>46145</v>
      </c>
      <c r="M5" s="35">
        <v>12.4</v>
      </c>
      <c r="N5" s="35">
        <v>13.6</v>
      </c>
      <c r="O5" s="34">
        <v>46203</v>
      </c>
      <c r="P5" s="34"/>
      <c r="Q5" s="37"/>
      <c r="R5" s="33"/>
      <c r="S5" s="37"/>
      <c r="T5" s="37"/>
      <c r="U5" s="38" t="s">
        <v>810</v>
      </c>
      <c r="V5" s="39" t="str">
        <f>IF(T5&lt;&gt;"","9 - Closed",IF(S5&lt;&gt;"","8 - Definitive Agreement",IF(Q5&lt;&gt;"","7 - Diligence",IF(P5&lt;&gt;"","6 - LOI Signed",IF(O5&lt;&gt;"","5 - Mgmt Meeting",IF(L5&lt;&gt;"","4 - IOI Received",IF(K5&lt;&gt;"","3 - CIM Sent",IF(J5&lt;&gt;"","2 - NDA Signed",IF(I5&lt;&gt;"","1 - Teaser Sent","0 - Not Contacted")))))))))</f>
        <v>5 - Mgmt Meeting</v>
      </c>
      <c r="W5" s="39">
        <f>IF(COUNT(G5:T5)=0,"-",Dashboard!$I$6-MAX(G5:T5))</f>
        <v>41</v>
      </c>
      <c r="X5" s="40" t="s">
        <v>811</v>
      </c>
    </row>
    <row r="6" spans="1:24" ht="15" customHeight="1">
      <c r="A6" s="31" t="s">
        <v>91</v>
      </c>
      <c r="B6" s="32" t="s">
        <v>92</v>
      </c>
      <c r="C6" s="33" t="s">
        <v>79</v>
      </c>
      <c r="D6" s="33" t="s">
        <v>93</v>
      </c>
      <c r="E6" s="32" t="s">
        <v>94</v>
      </c>
      <c r="F6" s="32" t="s">
        <v>95</v>
      </c>
      <c r="G6" s="34">
        <v>46090</v>
      </c>
      <c r="H6" s="34">
        <v>46093</v>
      </c>
      <c r="I6" s="34">
        <v>46090</v>
      </c>
      <c r="J6" s="34">
        <v>46101</v>
      </c>
      <c r="K6" s="34">
        <v>46112</v>
      </c>
      <c r="L6" s="34">
        <v>46149</v>
      </c>
      <c r="M6" s="35">
        <v>12</v>
      </c>
      <c r="N6" s="35">
        <v>12.8</v>
      </c>
      <c r="O6" s="34">
        <v>46214</v>
      </c>
      <c r="P6" s="37"/>
      <c r="Q6" s="37"/>
      <c r="R6" s="33"/>
      <c r="S6" s="37"/>
      <c r="T6" s="37"/>
      <c r="U6" s="38" t="s">
        <v>810</v>
      </c>
      <c r="V6" s="39" t="str">
        <f>IF(T6&lt;&gt;"","9 - Closed",IF(S6&lt;&gt;"","8 - Definitive Agreement",IF(Q6&lt;&gt;"","7 - Diligence",IF(P6&lt;&gt;"","6 - LOI Signed",IF(O6&lt;&gt;"","5 - Mgmt Meeting",IF(L6&lt;&gt;"","4 - IOI Received",IF(K6&lt;&gt;"","3 - CIM Sent",IF(J6&lt;&gt;"","2 - NDA Signed",IF(I6&lt;&gt;"","1 - Teaser Sent","0 - Not Contacted")))))))))</f>
        <v>5 - Mgmt Meeting</v>
      </c>
      <c r="W6" s="39">
        <f>IF(COUNT(G6:T6)=0,"-",Dashboard!$I$6-MAX(G6:T6))</f>
        <v>30</v>
      </c>
      <c r="X6" s="40" t="s">
        <v>812</v>
      </c>
    </row>
    <row r="7" spans="1:24" ht="15" customHeight="1">
      <c r="A7" s="31" t="s">
        <v>97</v>
      </c>
      <c r="B7" s="32" t="s">
        <v>98</v>
      </c>
      <c r="C7" s="33" t="s">
        <v>99</v>
      </c>
      <c r="D7" s="33" t="s">
        <v>80</v>
      </c>
      <c r="E7" s="32" t="s">
        <v>100</v>
      </c>
      <c r="F7" s="32" t="s">
        <v>101</v>
      </c>
      <c r="G7" s="34">
        <v>46100</v>
      </c>
      <c r="H7" s="34">
        <v>46104</v>
      </c>
      <c r="I7" s="34">
        <v>46100</v>
      </c>
      <c r="J7" s="34">
        <v>46108</v>
      </c>
      <c r="K7" s="34">
        <v>46119</v>
      </c>
      <c r="L7" s="34">
        <v>46169</v>
      </c>
      <c r="M7" s="35">
        <v>9</v>
      </c>
      <c r="N7" s="35">
        <v>10.199999999999999</v>
      </c>
      <c r="O7" s="34">
        <v>46219</v>
      </c>
      <c r="P7" s="37"/>
      <c r="Q7" s="37"/>
      <c r="R7" s="33"/>
      <c r="S7" s="37"/>
      <c r="T7" s="37"/>
      <c r="U7" s="38" t="s">
        <v>102</v>
      </c>
      <c r="V7" s="39" t="str">
        <f>IF(T7&lt;&gt;"","9 - Closed",IF(S7&lt;&gt;"","8 - Definitive Agreement",IF(Q7&lt;&gt;"","7 - Diligence",IF(P7&lt;&gt;"","6 - LOI Signed",IF(O7&lt;&gt;"","5 - Mgmt Meeting",IF(L7&lt;&gt;"","4 - IOI Received",IF(K7&lt;&gt;"","3 - CIM Sent",IF(J7&lt;&gt;"","2 - NDA Signed",IF(I7&lt;&gt;"","1 - Teaser Sent","0 - Not Contacted")))))))))</f>
        <v>5 - Mgmt Meeting</v>
      </c>
      <c r="W7" s="39">
        <f>IF(COUNT(G7:T7)=0,"-",Dashboard!$I$6-MAX(G7:T7))</f>
        <v>25</v>
      </c>
      <c r="X7" s="40" t="s">
        <v>103</v>
      </c>
    </row>
    <row r="8" spans="1:24" ht="15" customHeight="1">
      <c r="A8" s="31" t="s">
        <v>104</v>
      </c>
      <c r="B8" s="32" t="s">
        <v>105</v>
      </c>
      <c r="C8" s="33" t="s">
        <v>79</v>
      </c>
      <c r="D8" s="33" t="s">
        <v>106</v>
      </c>
      <c r="E8" s="32" t="s">
        <v>107</v>
      </c>
      <c r="F8" s="32" t="s">
        <v>108</v>
      </c>
      <c r="G8" s="34">
        <v>46095</v>
      </c>
      <c r="H8" s="34">
        <v>46098</v>
      </c>
      <c r="I8" s="34">
        <v>46095</v>
      </c>
      <c r="J8" s="34">
        <v>46103</v>
      </c>
      <c r="K8" s="34">
        <v>46110</v>
      </c>
      <c r="L8" s="34">
        <v>46166</v>
      </c>
      <c r="M8" s="35">
        <v>9</v>
      </c>
      <c r="N8" s="35">
        <v>10.6</v>
      </c>
      <c r="O8" s="34">
        <v>46221</v>
      </c>
      <c r="P8" s="37"/>
      <c r="Q8" s="37"/>
      <c r="R8" s="33"/>
      <c r="S8" s="37"/>
      <c r="T8" s="37"/>
      <c r="U8" s="38" t="s">
        <v>102</v>
      </c>
      <c r="V8" s="39" t="str">
        <f>IF(T8&lt;&gt;"","9 - Closed",IF(S8&lt;&gt;"","8 - Definitive Agreement",IF(Q8&lt;&gt;"","7 - Diligence",IF(P8&lt;&gt;"","6 - LOI Signed",IF(O8&lt;&gt;"","5 - Mgmt Meeting",IF(L8&lt;&gt;"","4 - IOI Received",IF(K8&lt;&gt;"","3 - CIM Sent",IF(J8&lt;&gt;"","2 - NDA Signed",IF(I8&lt;&gt;"","1 - Teaser Sent","0 - Not Contacted")))))))))</f>
        <v>5 - Mgmt Meeting</v>
      </c>
      <c r="W8" s="39">
        <f>IF(COUNT(G8:T8)=0,"-",Dashboard!$I$6-MAX(G8:T8))</f>
        <v>23</v>
      </c>
      <c r="X8" s="40" t="s">
        <v>103</v>
      </c>
    </row>
    <row r="9" spans="1:24" ht="15" customHeight="1">
      <c r="A9" s="31" t="s">
        <v>109</v>
      </c>
      <c r="B9" s="32" t="s">
        <v>110</v>
      </c>
      <c r="C9" s="33" t="s">
        <v>79</v>
      </c>
      <c r="D9" s="33" t="s">
        <v>93</v>
      </c>
      <c r="E9" s="32" t="s">
        <v>111</v>
      </c>
      <c r="F9" s="32" t="s">
        <v>112</v>
      </c>
      <c r="G9" s="34">
        <v>46085</v>
      </c>
      <c r="H9" s="34">
        <v>46089</v>
      </c>
      <c r="I9" s="34">
        <v>46085</v>
      </c>
      <c r="J9" s="34">
        <v>46097</v>
      </c>
      <c r="K9" s="34">
        <v>46102</v>
      </c>
      <c r="L9" s="34">
        <v>46185</v>
      </c>
      <c r="M9" s="35">
        <v>13</v>
      </c>
      <c r="N9" s="35">
        <v>13.7</v>
      </c>
      <c r="O9" s="34">
        <v>46216</v>
      </c>
      <c r="P9" s="37"/>
      <c r="Q9" s="37"/>
      <c r="R9" s="33"/>
      <c r="S9" s="37"/>
      <c r="T9" s="37"/>
      <c r="U9" s="38" t="s">
        <v>810</v>
      </c>
      <c r="V9" s="39" t="str">
        <f>IF(T9&lt;&gt;"","9 - Closed",IF(S9&lt;&gt;"","8 - Definitive Agreement",IF(Q9&lt;&gt;"","7 - Diligence",IF(P9&lt;&gt;"","6 - LOI Signed",IF(O9&lt;&gt;"","5 - Mgmt Meeting",IF(L9&lt;&gt;"","4 - IOI Received",IF(K9&lt;&gt;"","3 - CIM Sent",IF(J9&lt;&gt;"","2 - NDA Signed",IF(I9&lt;&gt;"","1 - Teaser Sent","0 - Not Contacted")))))))))</f>
        <v>5 - Mgmt Meeting</v>
      </c>
      <c r="W9" s="39">
        <f>IF(COUNT(G9:T9)=0,"-",Dashboard!$I$6-MAX(G9:T9))</f>
        <v>28</v>
      </c>
      <c r="X9" s="40" t="s">
        <v>812</v>
      </c>
    </row>
    <row r="10" spans="1:24" ht="15" customHeight="1">
      <c r="A10" s="31" t="s">
        <v>113</v>
      </c>
      <c r="B10" s="32" t="s">
        <v>114</v>
      </c>
      <c r="C10" s="33" t="s">
        <v>115</v>
      </c>
      <c r="D10" s="33" t="s">
        <v>80</v>
      </c>
      <c r="E10" s="32" t="s">
        <v>116</v>
      </c>
      <c r="F10" s="32" t="s">
        <v>117</v>
      </c>
      <c r="G10" s="34">
        <v>46097</v>
      </c>
      <c r="H10" s="34">
        <v>46101</v>
      </c>
      <c r="I10" s="34">
        <v>46097</v>
      </c>
      <c r="J10" s="34">
        <v>46104</v>
      </c>
      <c r="K10" s="34">
        <v>46115</v>
      </c>
      <c r="L10" s="34">
        <v>46135</v>
      </c>
      <c r="M10" s="35">
        <v>11.3</v>
      </c>
      <c r="N10" s="35">
        <v>12.3</v>
      </c>
      <c r="O10" s="34">
        <v>46204</v>
      </c>
      <c r="P10" s="37"/>
      <c r="Q10" s="37"/>
      <c r="R10" s="33"/>
      <c r="S10" s="37"/>
      <c r="T10" s="37"/>
      <c r="U10" s="38" t="s">
        <v>102</v>
      </c>
      <c r="V10" s="39" t="str">
        <f>IF(T10&lt;&gt;"","9 - Closed",IF(S10&lt;&gt;"","8 - Definitive Agreement",IF(Q10&lt;&gt;"","7 - Diligence",IF(P10&lt;&gt;"","6 - LOI Signed",IF(O10&lt;&gt;"","5 - Mgmt Meeting",IF(L10&lt;&gt;"","4 - IOI Received",IF(K10&lt;&gt;"","3 - CIM Sent",IF(J10&lt;&gt;"","2 - NDA Signed",IF(I10&lt;&gt;"","1 - Teaser Sent","0 - Not Contacted")))))))))</f>
        <v>5 - Mgmt Meeting</v>
      </c>
      <c r="W10" s="39">
        <f>IF(COUNT(G10:T10)=0,"-",Dashboard!$I$6-MAX(G10:T10))</f>
        <v>40</v>
      </c>
      <c r="X10" s="40" t="s">
        <v>103</v>
      </c>
    </row>
    <row r="11" spans="1:24" ht="15" customHeight="1">
      <c r="A11" s="31" t="s">
        <v>118</v>
      </c>
      <c r="B11" s="32" t="s">
        <v>119</v>
      </c>
      <c r="C11" s="33" t="s">
        <v>115</v>
      </c>
      <c r="D11" s="33" t="s">
        <v>80</v>
      </c>
      <c r="E11" s="32" t="s">
        <v>120</v>
      </c>
      <c r="F11" s="32" t="s">
        <v>121</v>
      </c>
      <c r="G11" s="34">
        <v>46096</v>
      </c>
      <c r="H11" s="34">
        <v>46099</v>
      </c>
      <c r="I11" s="34">
        <v>46096</v>
      </c>
      <c r="J11" s="34">
        <v>46106</v>
      </c>
      <c r="K11" s="34">
        <v>46116</v>
      </c>
      <c r="L11" s="34">
        <v>46177</v>
      </c>
      <c r="M11" s="35">
        <v>7.5</v>
      </c>
      <c r="N11" s="35">
        <v>8.4</v>
      </c>
      <c r="O11" s="34">
        <v>46219</v>
      </c>
      <c r="P11" s="37"/>
      <c r="Q11" s="37"/>
      <c r="R11" s="33"/>
      <c r="S11" s="37"/>
      <c r="T11" s="37"/>
      <c r="U11" s="38" t="s">
        <v>810</v>
      </c>
      <c r="V11" s="39" t="str">
        <f>IF(T11&lt;&gt;"","9 - Closed",IF(S11&lt;&gt;"","8 - Definitive Agreement",IF(Q11&lt;&gt;"","7 - Diligence",IF(P11&lt;&gt;"","6 - LOI Signed",IF(O11&lt;&gt;"","5 - Mgmt Meeting",IF(L11&lt;&gt;"","4 - IOI Received",IF(K11&lt;&gt;"","3 - CIM Sent",IF(J11&lt;&gt;"","2 - NDA Signed",IF(I11&lt;&gt;"","1 - Teaser Sent","0 - Not Contacted")))))))))</f>
        <v>5 - Mgmt Meeting</v>
      </c>
      <c r="W11" s="39">
        <f>IF(COUNT(G11:T11)=0,"-",Dashboard!$I$6-MAX(G11:T11))</f>
        <v>25</v>
      </c>
      <c r="X11" s="40" t="s">
        <v>812</v>
      </c>
    </row>
    <row r="12" spans="1:24" ht="15" customHeight="1">
      <c r="A12" s="31" t="s">
        <v>122</v>
      </c>
      <c r="B12" s="32" t="s">
        <v>123</v>
      </c>
      <c r="C12" s="33" t="s">
        <v>79</v>
      </c>
      <c r="D12" s="33" t="s">
        <v>93</v>
      </c>
      <c r="E12" s="32" t="s">
        <v>124</v>
      </c>
      <c r="F12" s="32" t="s">
        <v>125</v>
      </c>
      <c r="G12" s="34">
        <v>46105</v>
      </c>
      <c r="H12" s="34">
        <v>46109</v>
      </c>
      <c r="I12" s="34">
        <v>46105</v>
      </c>
      <c r="J12" s="34">
        <v>46119</v>
      </c>
      <c r="K12" s="34">
        <v>46122</v>
      </c>
      <c r="L12" s="34">
        <v>46157</v>
      </c>
      <c r="M12" s="35">
        <v>10.5</v>
      </c>
      <c r="N12" s="35">
        <v>12.2</v>
      </c>
      <c r="O12" s="34">
        <v>46209</v>
      </c>
      <c r="P12" s="37"/>
      <c r="Q12" s="37"/>
      <c r="R12" s="33"/>
      <c r="S12" s="37"/>
      <c r="T12" s="37"/>
      <c r="U12" s="38" t="s">
        <v>102</v>
      </c>
      <c r="V12" s="39" t="str">
        <f>IF(T12&lt;&gt;"","9 - Closed",IF(S12&lt;&gt;"","8 - Definitive Agreement",IF(Q12&lt;&gt;"","7 - Diligence",IF(P12&lt;&gt;"","6 - LOI Signed",IF(O12&lt;&gt;"","5 - Mgmt Meeting",IF(L12&lt;&gt;"","4 - IOI Received",IF(K12&lt;&gt;"","3 - CIM Sent",IF(J12&lt;&gt;"","2 - NDA Signed",IF(I12&lt;&gt;"","1 - Teaser Sent","0 - Not Contacted")))))))))</f>
        <v>5 - Mgmt Meeting</v>
      </c>
      <c r="W12" s="39">
        <f>IF(COUNT(G12:T12)=0,"-",Dashboard!$I$6-MAX(G12:T12))</f>
        <v>35</v>
      </c>
      <c r="X12" s="40" t="s">
        <v>103</v>
      </c>
    </row>
    <row r="13" spans="1:24" ht="15" customHeight="1">
      <c r="A13" s="31" t="s">
        <v>126</v>
      </c>
      <c r="B13" s="32" t="s">
        <v>127</v>
      </c>
      <c r="C13" s="33" t="s">
        <v>99</v>
      </c>
      <c r="D13" s="33" t="s">
        <v>93</v>
      </c>
      <c r="E13" s="32" t="s">
        <v>128</v>
      </c>
      <c r="F13" s="32" t="s">
        <v>129</v>
      </c>
      <c r="G13" s="34">
        <v>46101</v>
      </c>
      <c r="H13" s="34">
        <v>46105</v>
      </c>
      <c r="I13" s="34">
        <v>46101</v>
      </c>
      <c r="J13" s="34">
        <v>46108</v>
      </c>
      <c r="K13" s="34">
        <v>46113</v>
      </c>
      <c r="L13" s="34">
        <v>46161</v>
      </c>
      <c r="M13" s="35">
        <v>8.1</v>
      </c>
      <c r="N13" s="35">
        <v>8.9</v>
      </c>
      <c r="O13" s="34">
        <v>46196</v>
      </c>
      <c r="P13" s="37"/>
      <c r="Q13" s="37"/>
      <c r="R13" s="33"/>
      <c r="S13" s="37"/>
      <c r="T13" s="37"/>
      <c r="U13" s="38" t="s">
        <v>102</v>
      </c>
      <c r="V13" s="39" t="str">
        <f>IF(T13&lt;&gt;"","9 - Closed",IF(S13&lt;&gt;"","8 - Definitive Agreement",IF(Q13&lt;&gt;"","7 - Diligence",IF(P13&lt;&gt;"","6 - LOI Signed",IF(O13&lt;&gt;"","5 - Mgmt Meeting",IF(L13&lt;&gt;"","4 - IOI Received",IF(K13&lt;&gt;"","3 - CIM Sent",IF(J13&lt;&gt;"","2 - NDA Signed",IF(I13&lt;&gt;"","1 - Teaser Sent","0 - Not Contacted")))))))))</f>
        <v>5 - Mgmt Meeting</v>
      </c>
      <c r="W13" s="39">
        <f>IF(COUNT(G13:T13)=0,"-",Dashboard!$I$6-MAX(G13:T13))</f>
        <v>48</v>
      </c>
      <c r="X13" s="40" t="s">
        <v>103</v>
      </c>
    </row>
    <row r="14" spans="1:24" ht="15" customHeight="1">
      <c r="A14" s="31" t="s">
        <v>130</v>
      </c>
      <c r="B14" s="32" t="s">
        <v>131</v>
      </c>
      <c r="C14" s="33" t="s">
        <v>115</v>
      </c>
      <c r="D14" s="33" t="s">
        <v>106</v>
      </c>
      <c r="E14" s="32" t="s">
        <v>132</v>
      </c>
      <c r="F14" s="32" t="s">
        <v>133</v>
      </c>
      <c r="G14" s="34">
        <v>46094</v>
      </c>
      <c r="H14" s="34">
        <v>46095</v>
      </c>
      <c r="I14" s="34">
        <v>46094</v>
      </c>
      <c r="J14" s="34">
        <v>46101</v>
      </c>
      <c r="K14" s="34">
        <v>46109</v>
      </c>
      <c r="L14" s="34">
        <v>46156</v>
      </c>
      <c r="M14" s="35">
        <v>7.8</v>
      </c>
      <c r="N14" s="35">
        <v>9</v>
      </c>
      <c r="O14" s="34">
        <v>46206</v>
      </c>
      <c r="P14" s="37"/>
      <c r="Q14" s="37"/>
      <c r="R14" s="33"/>
      <c r="S14" s="37"/>
      <c r="T14" s="37"/>
      <c r="U14" s="38" t="s">
        <v>102</v>
      </c>
      <c r="V14" s="39" t="str">
        <f>IF(T14&lt;&gt;"","9 - Closed",IF(S14&lt;&gt;"","8 - Definitive Agreement",IF(Q14&lt;&gt;"","7 - Diligence",IF(P14&lt;&gt;"","6 - LOI Signed",IF(O14&lt;&gt;"","5 - Mgmt Meeting",IF(L14&lt;&gt;"","4 - IOI Received",IF(K14&lt;&gt;"","3 - CIM Sent",IF(J14&lt;&gt;"","2 - NDA Signed",IF(I14&lt;&gt;"","1 - Teaser Sent","0 - Not Contacted")))))))))</f>
        <v>5 - Mgmt Meeting</v>
      </c>
      <c r="W14" s="39">
        <f>IF(COUNT(G14:T14)=0,"-",Dashboard!$I$6-MAX(G14:T14))</f>
        <v>38</v>
      </c>
      <c r="X14" s="40" t="s">
        <v>103</v>
      </c>
    </row>
    <row r="15" spans="1:24" ht="15" customHeight="1">
      <c r="A15" s="31" t="s">
        <v>134</v>
      </c>
      <c r="B15" s="32" t="s">
        <v>135</v>
      </c>
      <c r="C15" s="33" t="s">
        <v>79</v>
      </c>
      <c r="D15" s="33" t="s">
        <v>80</v>
      </c>
      <c r="E15" s="32" t="s">
        <v>136</v>
      </c>
      <c r="F15" s="32" t="s">
        <v>137</v>
      </c>
      <c r="G15" s="34">
        <v>46096</v>
      </c>
      <c r="H15" s="34">
        <v>46097</v>
      </c>
      <c r="I15" s="34">
        <v>46096</v>
      </c>
      <c r="J15" s="34">
        <v>46108</v>
      </c>
      <c r="K15" s="34">
        <v>46114</v>
      </c>
      <c r="L15" s="34">
        <v>46165</v>
      </c>
      <c r="M15" s="35">
        <v>12.7</v>
      </c>
      <c r="N15" s="35">
        <v>13.3</v>
      </c>
      <c r="O15" s="34">
        <v>46217</v>
      </c>
      <c r="P15" s="37"/>
      <c r="Q15" s="37"/>
      <c r="R15" s="33"/>
      <c r="S15" s="37"/>
      <c r="T15" s="37"/>
      <c r="U15" s="38" t="s">
        <v>102</v>
      </c>
      <c r="V15" s="39" t="str">
        <f>IF(T15&lt;&gt;"","9 - Closed",IF(S15&lt;&gt;"","8 - Definitive Agreement",IF(Q15&lt;&gt;"","7 - Diligence",IF(P15&lt;&gt;"","6 - LOI Signed",IF(O15&lt;&gt;"","5 - Mgmt Meeting",IF(L15&lt;&gt;"","4 - IOI Received",IF(K15&lt;&gt;"","3 - CIM Sent",IF(J15&lt;&gt;"","2 - NDA Signed",IF(I15&lt;&gt;"","1 - Teaser Sent","0 - Not Contacted")))))))))</f>
        <v>5 - Mgmt Meeting</v>
      </c>
      <c r="W15" s="39">
        <f>IF(COUNT(G15:T15)=0,"-",Dashboard!$I$6-MAX(G15:T15))</f>
        <v>27</v>
      </c>
      <c r="X15" s="40" t="s">
        <v>103</v>
      </c>
    </row>
    <row r="16" spans="1:24" ht="15" customHeight="1">
      <c r="A16" s="31" t="s">
        <v>138</v>
      </c>
      <c r="B16" s="32" t="s">
        <v>139</v>
      </c>
      <c r="C16" s="33" t="s">
        <v>115</v>
      </c>
      <c r="D16" s="33" t="s">
        <v>93</v>
      </c>
      <c r="E16" s="32" t="s">
        <v>140</v>
      </c>
      <c r="F16" s="32" t="s">
        <v>141</v>
      </c>
      <c r="G16" s="34">
        <v>46108</v>
      </c>
      <c r="H16" s="34">
        <v>46112</v>
      </c>
      <c r="I16" s="34">
        <v>46108</v>
      </c>
      <c r="J16" s="34">
        <v>46118</v>
      </c>
      <c r="K16" s="34">
        <v>46122</v>
      </c>
      <c r="L16" s="34">
        <v>46171</v>
      </c>
      <c r="M16" s="35">
        <v>12.2</v>
      </c>
      <c r="N16" s="35">
        <v>13.6</v>
      </c>
      <c r="O16" s="34">
        <v>46205</v>
      </c>
      <c r="P16" s="37"/>
      <c r="Q16" s="37"/>
      <c r="R16" s="33"/>
      <c r="S16" s="37"/>
      <c r="T16" s="37"/>
      <c r="U16" s="38" t="s">
        <v>102</v>
      </c>
      <c r="V16" s="39" t="str">
        <f>IF(T16&lt;&gt;"","9 - Closed",IF(S16&lt;&gt;"","8 - Definitive Agreement",IF(Q16&lt;&gt;"","7 - Diligence",IF(P16&lt;&gt;"","6 - LOI Signed",IF(O16&lt;&gt;"","5 - Mgmt Meeting",IF(L16&lt;&gt;"","4 - IOI Received",IF(K16&lt;&gt;"","3 - CIM Sent",IF(J16&lt;&gt;"","2 - NDA Signed",IF(I16&lt;&gt;"","1 - Teaser Sent","0 - Not Contacted")))))))))</f>
        <v>5 - Mgmt Meeting</v>
      </c>
      <c r="W16" s="39">
        <f>IF(COUNT(G16:T16)=0,"-",Dashboard!$I$6-MAX(G16:T16))</f>
        <v>39</v>
      </c>
      <c r="X16" s="40" t="s">
        <v>103</v>
      </c>
    </row>
    <row r="17" spans="1:24" ht="15" customHeight="1">
      <c r="A17" s="31" t="s">
        <v>142</v>
      </c>
      <c r="B17" s="32" t="s">
        <v>143</v>
      </c>
      <c r="C17" s="33" t="s">
        <v>99</v>
      </c>
      <c r="D17" s="33" t="s">
        <v>80</v>
      </c>
      <c r="E17" s="32" t="s">
        <v>144</v>
      </c>
      <c r="F17" s="32" t="s">
        <v>145</v>
      </c>
      <c r="G17" s="34">
        <v>46090</v>
      </c>
      <c r="H17" s="34">
        <v>46093</v>
      </c>
      <c r="I17" s="34">
        <v>46090</v>
      </c>
      <c r="J17" s="34">
        <v>46104</v>
      </c>
      <c r="K17" s="34">
        <v>46113</v>
      </c>
      <c r="L17" s="34">
        <v>46177</v>
      </c>
      <c r="M17" s="35">
        <v>8.1999999999999993</v>
      </c>
      <c r="N17" s="35">
        <v>9.8000000000000007</v>
      </c>
      <c r="O17" s="37"/>
      <c r="P17" s="37"/>
      <c r="Q17" s="37"/>
      <c r="R17" s="33"/>
      <c r="S17" s="37"/>
      <c r="T17" s="37"/>
      <c r="U17" s="38" t="s">
        <v>102</v>
      </c>
      <c r="V17" s="39" t="str">
        <f>IF(T17&lt;&gt;"","9 - Closed",IF(S17&lt;&gt;"","8 - Definitive Agreement",IF(Q17&lt;&gt;"","7 - Diligence",IF(P17&lt;&gt;"","6 - LOI Signed",IF(O17&lt;&gt;"","5 - Mgmt Meeting",IF(L17&lt;&gt;"","4 - IOI Received",IF(K17&lt;&gt;"","3 - CIM Sent",IF(J17&lt;&gt;"","2 - NDA Signed",IF(I17&lt;&gt;"","1 - Teaser Sent","0 - Not Contacted")))))))))</f>
        <v>4 - IOI Received</v>
      </c>
      <c r="W17" s="39">
        <f>IF(COUNT(G17:T17)=0,"-",Dashboard!$I$6-MAX(G17:T17))</f>
        <v>67</v>
      </c>
      <c r="X17" s="40" t="s">
        <v>103</v>
      </c>
    </row>
    <row r="18" spans="1:24" ht="15" customHeight="1">
      <c r="A18" s="31" t="s">
        <v>146</v>
      </c>
      <c r="B18" s="32" t="s">
        <v>147</v>
      </c>
      <c r="C18" s="33" t="s">
        <v>115</v>
      </c>
      <c r="D18" s="33" t="s">
        <v>80</v>
      </c>
      <c r="E18" s="32" t="s">
        <v>148</v>
      </c>
      <c r="F18" s="32" t="s">
        <v>149</v>
      </c>
      <c r="G18" s="34">
        <v>46095</v>
      </c>
      <c r="H18" s="34">
        <v>46099</v>
      </c>
      <c r="I18" s="34">
        <v>46095</v>
      </c>
      <c r="J18" s="34">
        <v>46108</v>
      </c>
      <c r="K18" s="34">
        <v>46113</v>
      </c>
      <c r="L18" s="34">
        <v>46157</v>
      </c>
      <c r="M18" s="35">
        <v>10.3</v>
      </c>
      <c r="N18" s="35">
        <v>11.5</v>
      </c>
      <c r="O18" s="37"/>
      <c r="P18" s="37"/>
      <c r="Q18" s="37"/>
      <c r="R18" s="33"/>
      <c r="S18" s="37"/>
      <c r="T18" s="37"/>
      <c r="U18" s="38" t="s">
        <v>810</v>
      </c>
      <c r="V18" s="39" t="str">
        <f>IF(T18&lt;&gt;"","9 - Closed",IF(S18&lt;&gt;"","8 - Definitive Agreement",IF(Q18&lt;&gt;"","7 - Diligence",IF(P18&lt;&gt;"","6 - LOI Signed",IF(O18&lt;&gt;"","5 - Mgmt Meeting",IF(L18&lt;&gt;"","4 - IOI Received",IF(K18&lt;&gt;"","3 - CIM Sent",IF(J18&lt;&gt;"","2 - NDA Signed",IF(I18&lt;&gt;"","1 - Teaser Sent","0 - Not Contacted")))))))))</f>
        <v>4 - IOI Received</v>
      </c>
      <c r="W18" s="39">
        <f>IF(COUNT(G18:T18)=0,"-",Dashboard!$I$6-MAX(G18:T18))</f>
        <v>87</v>
      </c>
      <c r="X18" s="40" t="s">
        <v>813</v>
      </c>
    </row>
    <row r="19" spans="1:24" ht="15" customHeight="1">
      <c r="A19" s="31" t="s">
        <v>150</v>
      </c>
      <c r="B19" s="32" t="s">
        <v>151</v>
      </c>
      <c r="C19" s="33" t="s">
        <v>79</v>
      </c>
      <c r="D19" s="33" t="s">
        <v>93</v>
      </c>
      <c r="E19" s="32" t="s">
        <v>152</v>
      </c>
      <c r="F19" s="32" t="s">
        <v>153</v>
      </c>
      <c r="G19" s="34">
        <v>46095</v>
      </c>
      <c r="H19" s="34">
        <v>46099</v>
      </c>
      <c r="I19" s="34">
        <v>46095</v>
      </c>
      <c r="J19" s="34">
        <v>46105</v>
      </c>
      <c r="K19" s="34">
        <v>46107</v>
      </c>
      <c r="L19" s="34">
        <v>46190</v>
      </c>
      <c r="M19" s="35">
        <v>11.7</v>
      </c>
      <c r="N19" s="35">
        <v>13.3</v>
      </c>
      <c r="O19" s="37"/>
      <c r="P19" s="37"/>
      <c r="Q19" s="37"/>
      <c r="R19" s="33"/>
      <c r="S19" s="37"/>
      <c r="T19" s="37"/>
      <c r="U19" s="38" t="s">
        <v>810</v>
      </c>
      <c r="V19" s="39" t="str">
        <f>IF(T19&lt;&gt;"","9 - Closed",IF(S19&lt;&gt;"","8 - Definitive Agreement",IF(Q19&lt;&gt;"","7 - Diligence",IF(P19&lt;&gt;"","6 - LOI Signed",IF(O19&lt;&gt;"","5 - Mgmt Meeting",IF(L19&lt;&gt;"","4 - IOI Received",IF(K19&lt;&gt;"","3 - CIM Sent",IF(J19&lt;&gt;"","2 - NDA Signed",IF(I19&lt;&gt;"","1 - Teaser Sent","0 - Not Contacted")))))))))</f>
        <v>4 - IOI Received</v>
      </c>
      <c r="W19" s="39">
        <f>IF(COUNT(G19:T19)=0,"-",Dashboard!$I$6-MAX(G19:T19))</f>
        <v>54</v>
      </c>
      <c r="X19" s="40" t="s">
        <v>813</v>
      </c>
    </row>
    <row r="20" spans="1:24" ht="15" customHeight="1">
      <c r="A20" s="31" t="s">
        <v>154</v>
      </c>
      <c r="B20" s="32" t="s">
        <v>155</v>
      </c>
      <c r="C20" s="33" t="s">
        <v>79</v>
      </c>
      <c r="D20" s="33" t="s">
        <v>93</v>
      </c>
      <c r="E20" s="32" t="s">
        <v>156</v>
      </c>
      <c r="F20" s="32" t="s">
        <v>157</v>
      </c>
      <c r="G20" s="34">
        <v>46087</v>
      </c>
      <c r="H20" s="34">
        <v>46090</v>
      </c>
      <c r="I20" s="34">
        <v>46087</v>
      </c>
      <c r="J20" s="34">
        <v>46095</v>
      </c>
      <c r="K20" s="34">
        <v>46102</v>
      </c>
      <c r="L20" s="34">
        <v>46154</v>
      </c>
      <c r="M20" s="35">
        <v>10.9</v>
      </c>
      <c r="N20" s="35">
        <v>12.3</v>
      </c>
      <c r="O20" s="37"/>
      <c r="P20" s="37"/>
      <c r="Q20" s="37"/>
      <c r="R20" s="33"/>
      <c r="S20" s="37"/>
      <c r="T20" s="37"/>
      <c r="U20" s="38" t="s">
        <v>810</v>
      </c>
      <c r="V20" s="39" t="str">
        <f>IF(T20&lt;&gt;"","9 - Closed",IF(S20&lt;&gt;"","8 - Definitive Agreement",IF(Q20&lt;&gt;"","7 - Diligence",IF(P20&lt;&gt;"","6 - LOI Signed",IF(O20&lt;&gt;"","5 - Mgmt Meeting",IF(L20&lt;&gt;"","4 - IOI Received",IF(K20&lt;&gt;"","3 - CIM Sent",IF(J20&lt;&gt;"","2 - NDA Signed",IF(I20&lt;&gt;"","1 - Teaser Sent","0 - Not Contacted")))))))))</f>
        <v>4 - IOI Received</v>
      </c>
      <c r="W20" s="39">
        <f>IF(COUNT(G20:T20)=0,"-",Dashboard!$I$6-MAX(G20:T20))</f>
        <v>90</v>
      </c>
      <c r="X20" s="40" t="s">
        <v>813</v>
      </c>
    </row>
    <row r="21" spans="1:24" ht="15" customHeight="1">
      <c r="A21" s="31" t="s">
        <v>158</v>
      </c>
      <c r="B21" s="32" t="s">
        <v>159</v>
      </c>
      <c r="C21" s="33" t="s">
        <v>79</v>
      </c>
      <c r="D21" s="33" t="s">
        <v>106</v>
      </c>
      <c r="E21" s="32" t="s">
        <v>160</v>
      </c>
      <c r="F21" s="32" t="s">
        <v>161</v>
      </c>
      <c r="G21" s="34">
        <v>46095</v>
      </c>
      <c r="H21" s="34">
        <v>46096</v>
      </c>
      <c r="I21" s="34">
        <v>46095</v>
      </c>
      <c r="J21" s="34">
        <v>46108</v>
      </c>
      <c r="K21" s="34">
        <v>46112</v>
      </c>
      <c r="L21" s="34">
        <v>46151</v>
      </c>
      <c r="M21" s="35">
        <v>11.9</v>
      </c>
      <c r="N21" s="35">
        <v>12.4</v>
      </c>
      <c r="O21" s="37"/>
      <c r="P21" s="37"/>
      <c r="Q21" s="37"/>
      <c r="R21" s="33"/>
      <c r="S21" s="37"/>
      <c r="T21" s="37"/>
      <c r="U21" s="38" t="s">
        <v>102</v>
      </c>
      <c r="V21" s="39" t="str">
        <f>IF(T21&lt;&gt;"","9 - Closed",IF(S21&lt;&gt;"","8 - Definitive Agreement",IF(Q21&lt;&gt;"","7 - Diligence",IF(P21&lt;&gt;"","6 - LOI Signed",IF(O21&lt;&gt;"","5 - Mgmt Meeting",IF(L21&lt;&gt;"","4 - IOI Received",IF(K21&lt;&gt;"","3 - CIM Sent",IF(J21&lt;&gt;"","2 - NDA Signed",IF(I21&lt;&gt;"","1 - Teaser Sent","0 - Not Contacted")))))))))</f>
        <v>4 - IOI Received</v>
      </c>
      <c r="W21" s="39">
        <f>IF(COUNT(G21:T21)=0,"-",Dashboard!$I$6-MAX(G21:T21))</f>
        <v>93</v>
      </c>
      <c r="X21" s="40" t="s">
        <v>103</v>
      </c>
    </row>
    <row r="22" spans="1:24" ht="15" customHeight="1">
      <c r="A22" s="31" t="s">
        <v>162</v>
      </c>
      <c r="B22" s="32" t="s">
        <v>163</v>
      </c>
      <c r="C22" s="33" t="s">
        <v>115</v>
      </c>
      <c r="D22" s="33" t="s">
        <v>93</v>
      </c>
      <c r="E22" s="32" t="s">
        <v>164</v>
      </c>
      <c r="F22" s="32" t="s">
        <v>165</v>
      </c>
      <c r="G22" s="34">
        <v>46085</v>
      </c>
      <c r="H22" s="34">
        <v>46087</v>
      </c>
      <c r="I22" s="34">
        <v>46085</v>
      </c>
      <c r="J22" s="34">
        <v>46090</v>
      </c>
      <c r="K22" s="34">
        <v>46098</v>
      </c>
      <c r="L22" s="34">
        <v>46171</v>
      </c>
      <c r="M22" s="35">
        <v>8.1999999999999993</v>
      </c>
      <c r="N22" s="35">
        <v>8.9</v>
      </c>
      <c r="O22" s="37"/>
      <c r="P22" s="37"/>
      <c r="Q22" s="37"/>
      <c r="R22" s="33"/>
      <c r="S22" s="37"/>
      <c r="T22" s="37"/>
      <c r="U22" s="38" t="s">
        <v>102</v>
      </c>
      <c r="V22" s="39" t="str">
        <f>IF(T22&lt;&gt;"","9 - Closed",IF(S22&lt;&gt;"","8 - Definitive Agreement",IF(Q22&lt;&gt;"","7 - Diligence",IF(P22&lt;&gt;"","6 - LOI Signed",IF(O22&lt;&gt;"","5 - Mgmt Meeting",IF(L22&lt;&gt;"","4 - IOI Received",IF(K22&lt;&gt;"","3 - CIM Sent",IF(J22&lt;&gt;"","2 - NDA Signed",IF(I22&lt;&gt;"","1 - Teaser Sent","0 - Not Contacted")))))))))</f>
        <v>4 - IOI Received</v>
      </c>
      <c r="W22" s="39">
        <f>IF(COUNT(G22:T22)=0,"-",Dashboard!$I$6-MAX(G22:T22))</f>
        <v>73</v>
      </c>
      <c r="X22" s="40" t="s">
        <v>103</v>
      </c>
    </row>
    <row r="23" spans="1:24" ht="15" customHeight="1">
      <c r="A23" s="31" t="s">
        <v>166</v>
      </c>
      <c r="B23" s="32" t="s">
        <v>167</v>
      </c>
      <c r="C23" s="33" t="s">
        <v>79</v>
      </c>
      <c r="D23" s="33" t="s">
        <v>106</v>
      </c>
      <c r="E23" s="32" t="s">
        <v>168</v>
      </c>
      <c r="F23" s="32" t="s">
        <v>169</v>
      </c>
      <c r="G23" s="34">
        <v>46097</v>
      </c>
      <c r="H23" s="34">
        <v>46100</v>
      </c>
      <c r="I23" s="34">
        <v>46097</v>
      </c>
      <c r="J23" s="34">
        <v>46110</v>
      </c>
      <c r="K23" s="34">
        <v>46118</v>
      </c>
      <c r="L23" s="34">
        <v>46191</v>
      </c>
      <c r="M23" s="35">
        <v>7.7</v>
      </c>
      <c r="N23" s="35">
        <v>9.3000000000000007</v>
      </c>
      <c r="O23" s="37"/>
      <c r="P23" s="37"/>
      <c r="Q23" s="37"/>
      <c r="R23" s="33"/>
      <c r="S23" s="37"/>
      <c r="T23" s="37"/>
      <c r="U23" s="38" t="s">
        <v>810</v>
      </c>
      <c r="V23" s="39" t="str">
        <f>IF(T23&lt;&gt;"","9 - Closed",IF(S23&lt;&gt;"","8 - Definitive Agreement",IF(Q23&lt;&gt;"","7 - Diligence",IF(P23&lt;&gt;"","6 - LOI Signed",IF(O23&lt;&gt;"","5 - Mgmt Meeting",IF(L23&lt;&gt;"","4 - IOI Received",IF(K23&lt;&gt;"","3 - CIM Sent",IF(J23&lt;&gt;"","2 - NDA Signed",IF(I23&lt;&gt;"","1 - Teaser Sent","0 - Not Contacted")))))))))</f>
        <v>4 - IOI Received</v>
      </c>
      <c r="W23" s="39">
        <f>IF(COUNT(G23:T23)=0,"-",Dashboard!$I$6-MAX(G23:T23))</f>
        <v>53</v>
      </c>
      <c r="X23" s="40" t="s">
        <v>813</v>
      </c>
    </row>
    <row r="24" spans="1:24" ht="15" customHeight="1">
      <c r="A24" s="31" t="s">
        <v>170</v>
      </c>
      <c r="B24" s="32" t="s">
        <v>171</v>
      </c>
      <c r="C24" s="33" t="s">
        <v>79</v>
      </c>
      <c r="D24" s="33" t="s">
        <v>80</v>
      </c>
      <c r="E24" s="32" t="s">
        <v>172</v>
      </c>
      <c r="F24" s="32" t="s">
        <v>173</v>
      </c>
      <c r="G24" s="34">
        <v>46093</v>
      </c>
      <c r="H24" s="34">
        <v>46096</v>
      </c>
      <c r="I24" s="34">
        <v>46093</v>
      </c>
      <c r="J24" s="34">
        <v>46103</v>
      </c>
      <c r="K24" s="34">
        <v>46112</v>
      </c>
      <c r="L24" s="34">
        <v>46136</v>
      </c>
      <c r="M24" s="35">
        <v>7.4</v>
      </c>
      <c r="N24" s="35">
        <v>9.1999999999999993</v>
      </c>
      <c r="O24" s="37"/>
      <c r="P24" s="37"/>
      <c r="Q24" s="37"/>
      <c r="R24" s="33"/>
      <c r="S24" s="37"/>
      <c r="T24" s="37"/>
      <c r="U24" s="38" t="s">
        <v>810</v>
      </c>
      <c r="V24" s="39" t="str">
        <f>IF(T24&lt;&gt;"","9 - Closed",IF(S24&lt;&gt;"","8 - Definitive Agreement",IF(Q24&lt;&gt;"","7 - Diligence",IF(P24&lt;&gt;"","6 - LOI Signed",IF(O24&lt;&gt;"","5 - Mgmt Meeting",IF(L24&lt;&gt;"","4 - IOI Received",IF(K24&lt;&gt;"","3 - CIM Sent",IF(J24&lt;&gt;"","2 - NDA Signed",IF(I24&lt;&gt;"","1 - Teaser Sent","0 - Not Contacted")))))))))</f>
        <v>4 - IOI Received</v>
      </c>
      <c r="W24" s="39">
        <f>IF(COUNT(G24:T24)=0,"-",Dashboard!$I$6-MAX(G24:T24))</f>
        <v>108</v>
      </c>
      <c r="X24" s="40" t="s">
        <v>813</v>
      </c>
    </row>
    <row r="25" spans="1:24" ht="15" customHeight="1">
      <c r="A25" s="31" t="s">
        <v>174</v>
      </c>
      <c r="B25" s="32" t="s">
        <v>175</v>
      </c>
      <c r="C25" s="33" t="s">
        <v>99</v>
      </c>
      <c r="D25" s="33" t="s">
        <v>80</v>
      </c>
      <c r="E25" s="32" t="s">
        <v>176</v>
      </c>
      <c r="F25" s="32" t="s">
        <v>177</v>
      </c>
      <c r="G25" s="34">
        <v>46107</v>
      </c>
      <c r="H25" s="34">
        <v>46111</v>
      </c>
      <c r="I25" s="34">
        <v>46107</v>
      </c>
      <c r="J25" s="34">
        <v>46121</v>
      </c>
      <c r="K25" s="34">
        <v>46125</v>
      </c>
      <c r="L25" s="34">
        <v>46170</v>
      </c>
      <c r="M25" s="35">
        <v>7</v>
      </c>
      <c r="N25" s="35">
        <v>8.1999999999999993</v>
      </c>
      <c r="O25" s="37"/>
      <c r="P25" s="37"/>
      <c r="Q25" s="37"/>
      <c r="R25" s="33"/>
      <c r="S25" s="37"/>
      <c r="T25" s="37"/>
      <c r="U25" s="38" t="s">
        <v>102</v>
      </c>
      <c r="V25" s="39" t="str">
        <f>IF(T25&lt;&gt;"","9 - Closed",IF(S25&lt;&gt;"","8 - Definitive Agreement",IF(Q25&lt;&gt;"","7 - Diligence",IF(P25&lt;&gt;"","6 - LOI Signed",IF(O25&lt;&gt;"","5 - Mgmt Meeting",IF(L25&lt;&gt;"","4 - IOI Received",IF(K25&lt;&gt;"","3 - CIM Sent",IF(J25&lt;&gt;"","2 - NDA Signed",IF(I25&lt;&gt;"","1 - Teaser Sent","0 - Not Contacted")))))))))</f>
        <v>4 - IOI Received</v>
      </c>
      <c r="W25" s="39">
        <f>IF(COUNT(G25:T25)=0,"-",Dashboard!$I$6-MAX(G25:T25))</f>
        <v>74</v>
      </c>
      <c r="X25" s="40" t="s">
        <v>103</v>
      </c>
    </row>
    <row r="26" spans="1:24" ht="15" customHeight="1">
      <c r="A26" s="31" t="s">
        <v>178</v>
      </c>
      <c r="B26" s="32" t="s">
        <v>179</v>
      </c>
      <c r="C26" s="33" t="s">
        <v>115</v>
      </c>
      <c r="D26" s="33" t="s">
        <v>80</v>
      </c>
      <c r="E26" s="32" t="s">
        <v>180</v>
      </c>
      <c r="F26" s="32" t="s">
        <v>181</v>
      </c>
      <c r="G26" s="34">
        <v>46096</v>
      </c>
      <c r="H26" s="34">
        <v>46099</v>
      </c>
      <c r="I26" s="34">
        <v>46096</v>
      </c>
      <c r="J26" s="34">
        <v>46110</v>
      </c>
      <c r="K26" s="34">
        <v>46118</v>
      </c>
      <c r="L26" s="34">
        <v>46144</v>
      </c>
      <c r="M26" s="35">
        <v>10.9</v>
      </c>
      <c r="N26" s="35">
        <v>12.1</v>
      </c>
      <c r="O26" s="37"/>
      <c r="P26" s="37"/>
      <c r="Q26" s="37"/>
      <c r="R26" s="33"/>
      <c r="S26" s="37"/>
      <c r="T26" s="37"/>
      <c r="U26" s="38" t="s">
        <v>810</v>
      </c>
      <c r="V26" s="39" t="str">
        <f>IF(T26&lt;&gt;"","9 - Closed",IF(S26&lt;&gt;"","8 - Definitive Agreement",IF(Q26&lt;&gt;"","7 - Diligence",IF(P26&lt;&gt;"","6 - LOI Signed",IF(O26&lt;&gt;"","5 - Mgmt Meeting",IF(L26&lt;&gt;"","4 - IOI Received",IF(K26&lt;&gt;"","3 - CIM Sent",IF(J26&lt;&gt;"","2 - NDA Signed",IF(I26&lt;&gt;"","1 - Teaser Sent","0 - Not Contacted")))))))))</f>
        <v>4 - IOI Received</v>
      </c>
      <c r="W26" s="39">
        <f>IF(COUNT(G26:T26)=0,"-",Dashboard!$I$6-MAX(G26:T26))</f>
        <v>100</v>
      </c>
      <c r="X26" s="40" t="s">
        <v>813</v>
      </c>
    </row>
    <row r="27" spans="1:24" ht="15" customHeight="1">
      <c r="A27" s="31" t="s">
        <v>182</v>
      </c>
      <c r="B27" s="32" t="s">
        <v>183</v>
      </c>
      <c r="C27" s="33" t="s">
        <v>79</v>
      </c>
      <c r="D27" s="33" t="s">
        <v>106</v>
      </c>
      <c r="E27" s="32" t="s">
        <v>184</v>
      </c>
      <c r="F27" s="32" t="s">
        <v>185</v>
      </c>
      <c r="G27" s="34">
        <v>46083</v>
      </c>
      <c r="H27" s="34">
        <v>46086</v>
      </c>
      <c r="I27" s="34">
        <v>46083</v>
      </c>
      <c r="J27" s="34">
        <v>46097</v>
      </c>
      <c r="K27" s="34">
        <v>46100</v>
      </c>
      <c r="L27" s="37"/>
      <c r="M27" s="33"/>
      <c r="N27" s="33"/>
      <c r="O27" s="37"/>
      <c r="P27" s="37"/>
      <c r="Q27" s="37"/>
      <c r="R27" s="33"/>
      <c r="S27" s="37"/>
      <c r="T27" s="37"/>
      <c r="U27" s="38" t="s">
        <v>190</v>
      </c>
      <c r="V27" s="39" t="str">
        <f>IF(T27&lt;&gt;"","9 - Closed",IF(S27&lt;&gt;"","8 - Definitive Agreement",IF(Q27&lt;&gt;"","7 - Diligence",IF(P27&lt;&gt;"","6 - LOI Signed",IF(O27&lt;&gt;"","5 - Mgmt Meeting",IF(L27&lt;&gt;"","4 - IOI Received",IF(K27&lt;&gt;"","3 - CIM Sent",IF(J27&lt;&gt;"","2 - NDA Signed",IF(I27&lt;&gt;"","1 - Teaser Sent","0 - Not Contacted")))))))))</f>
        <v>3 - CIM Sent</v>
      </c>
      <c r="W27" s="39">
        <f>IF(COUNT(G27:T27)=0,"-",Dashboard!$I$6-MAX(G27:T27))</f>
        <v>144</v>
      </c>
      <c r="X27" s="40" t="s">
        <v>814</v>
      </c>
    </row>
    <row r="28" spans="1:24" ht="15" customHeight="1">
      <c r="A28" s="31" t="s">
        <v>186</v>
      </c>
      <c r="B28" s="32" t="s">
        <v>187</v>
      </c>
      <c r="C28" s="33" t="s">
        <v>79</v>
      </c>
      <c r="D28" s="33" t="s">
        <v>106</v>
      </c>
      <c r="E28" s="32" t="s">
        <v>188</v>
      </c>
      <c r="F28" s="32" t="s">
        <v>189</v>
      </c>
      <c r="G28" s="34">
        <v>46094</v>
      </c>
      <c r="H28" s="34">
        <v>46098</v>
      </c>
      <c r="I28" s="34">
        <v>46094</v>
      </c>
      <c r="J28" s="34">
        <v>46104</v>
      </c>
      <c r="K28" s="34">
        <v>46114</v>
      </c>
      <c r="L28" s="37"/>
      <c r="M28" s="33"/>
      <c r="N28" s="33"/>
      <c r="O28" s="37"/>
      <c r="P28" s="37"/>
      <c r="Q28" s="37"/>
      <c r="R28" s="33"/>
      <c r="S28" s="37"/>
      <c r="T28" s="37"/>
      <c r="U28" s="38" t="s">
        <v>190</v>
      </c>
      <c r="V28" s="39" t="str">
        <f>IF(T28&lt;&gt;"","9 - Closed",IF(S28&lt;&gt;"","8 - Definitive Agreement",IF(Q28&lt;&gt;"","7 - Diligence",IF(P28&lt;&gt;"","6 - LOI Signed",IF(O28&lt;&gt;"","5 - Mgmt Meeting",IF(L28&lt;&gt;"","4 - IOI Received",IF(K28&lt;&gt;"","3 - CIM Sent",IF(J28&lt;&gt;"","2 - NDA Signed",IF(I28&lt;&gt;"","1 - Teaser Sent","0 - Not Contacted")))))))))</f>
        <v>3 - CIM Sent</v>
      </c>
      <c r="W28" s="39">
        <f>IF(COUNT(G28:T28)=0,"-",Dashboard!$I$6-MAX(G28:T28))</f>
        <v>130</v>
      </c>
      <c r="X28" s="40" t="s">
        <v>815</v>
      </c>
    </row>
    <row r="29" spans="1:24" ht="15" customHeight="1">
      <c r="A29" s="31" t="s">
        <v>192</v>
      </c>
      <c r="B29" s="32" t="s">
        <v>193</v>
      </c>
      <c r="C29" s="33" t="s">
        <v>79</v>
      </c>
      <c r="D29" s="33" t="s">
        <v>106</v>
      </c>
      <c r="E29" s="32" t="s">
        <v>194</v>
      </c>
      <c r="F29" s="32" t="s">
        <v>195</v>
      </c>
      <c r="G29" s="34">
        <v>46103</v>
      </c>
      <c r="H29" s="34">
        <v>46104</v>
      </c>
      <c r="I29" s="34">
        <v>46103</v>
      </c>
      <c r="J29" s="34">
        <v>46106</v>
      </c>
      <c r="K29" s="34">
        <v>46116</v>
      </c>
      <c r="L29" s="37"/>
      <c r="M29" s="33"/>
      <c r="N29" s="33"/>
      <c r="O29" s="37"/>
      <c r="P29" s="37"/>
      <c r="Q29" s="37"/>
      <c r="R29" s="33"/>
      <c r="S29" s="37"/>
      <c r="T29" s="37"/>
      <c r="U29" s="38" t="s">
        <v>190</v>
      </c>
      <c r="V29" s="39" t="str">
        <f>IF(T29&lt;&gt;"","9 - Closed",IF(S29&lt;&gt;"","8 - Definitive Agreement",IF(Q29&lt;&gt;"","7 - Diligence",IF(P29&lt;&gt;"","6 - LOI Signed",IF(O29&lt;&gt;"","5 - Mgmt Meeting",IF(L29&lt;&gt;"","4 - IOI Received",IF(K29&lt;&gt;"","3 - CIM Sent",IF(J29&lt;&gt;"","2 - NDA Signed",IF(I29&lt;&gt;"","1 - Teaser Sent","0 - Not Contacted")))))))))</f>
        <v>3 - CIM Sent</v>
      </c>
      <c r="W29" s="39">
        <f>IF(COUNT(G29:T29)=0,"-",Dashboard!$I$6-MAX(G29:T29))</f>
        <v>128</v>
      </c>
      <c r="X29" s="40" t="s">
        <v>815</v>
      </c>
    </row>
    <row r="30" spans="1:24" ht="15" customHeight="1">
      <c r="A30" s="31" t="s">
        <v>196</v>
      </c>
      <c r="B30" s="32" t="s">
        <v>197</v>
      </c>
      <c r="C30" s="33" t="s">
        <v>79</v>
      </c>
      <c r="D30" s="33" t="s">
        <v>106</v>
      </c>
      <c r="E30" s="32" t="s">
        <v>198</v>
      </c>
      <c r="F30" s="32" t="s">
        <v>199</v>
      </c>
      <c r="G30" s="34">
        <v>46090</v>
      </c>
      <c r="H30" s="34">
        <v>46092</v>
      </c>
      <c r="I30" s="34">
        <v>46090</v>
      </c>
      <c r="J30" s="34">
        <v>46102</v>
      </c>
      <c r="K30" s="34">
        <v>46110</v>
      </c>
      <c r="L30" s="37"/>
      <c r="M30" s="33"/>
      <c r="N30" s="33"/>
      <c r="O30" s="37"/>
      <c r="P30" s="37"/>
      <c r="Q30" s="37"/>
      <c r="R30" s="33"/>
      <c r="S30" s="37"/>
      <c r="T30" s="37"/>
      <c r="U30" s="38" t="s">
        <v>190</v>
      </c>
      <c r="V30" s="39" t="str">
        <f>IF(T30&lt;&gt;"","9 - Closed",IF(S30&lt;&gt;"","8 - Definitive Agreement",IF(Q30&lt;&gt;"","7 - Diligence",IF(P30&lt;&gt;"","6 - LOI Signed",IF(O30&lt;&gt;"","5 - Mgmt Meeting",IF(L30&lt;&gt;"","4 - IOI Received",IF(K30&lt;&gt;"","3 - CIM Sent",IF(J30&lt;&gt;"","2 - NDA Signed",IF(I30&lt;&gt;"","1 - Teaser Sent","0 - Not Contacted")))))))))</f>
        <v>3 - CIM Sent</v>
      </c>
      <c r="W30" s="39">
        <f>IF(COUNT(G30:T30)=0,"-",Dashboard!$I$6-MAX(G30:T30))</f>
        <v>134</v>
      </c>
      <c r="X30" s="40" t="s">
        <v>815</v>
      </c>
    </row>
    <row r="31" spans="1:24" ht="15" customHeight="1">
      <c r="A31" s="31" t="s">
        <v>200</v>
      </c>
      <c r="B31" s="32" t="s">
        <v>201</v>
      </c>
      <c r="C31" s="33" t="s">
        <v>79</v>
      </c>
      <c r="D31" s="33" t="s">
        <v>106</v>
      </c>
      <c r="E31" s="32" t="s">
        <v>202</v>
      </c>
      <c r="F31" s="32" t="s">
        <v>203</v>
      </c>
      <c r="G31" s="34">
        <v>46087</v>
      </c>
      <c r="H31" s="34">
        <v>46091</v>
      </c>
      <c r="I31" s="34">
        <v>46087</v>
      </c>
      <c r="J31" s="34">
        <v>46102</v>
      </c>
      <c r="K31" s="34">
        <v>46108</v>
      </c>
      <c r="L31" s="37"/>
      <c r="M31" s="33"/>
      <c r="N31" s="33"/>
      <c r="O31" s="37"/>
      <c r="P31" s="37"/>
      <c r="Q31" s="37"/>
      <c r="R31" s="33"/>
      <c r="S31" s="37"/>
      <c r="T31" s="37"/>
      <c r="U31" s="38" t="s">
        <v>190</v>
      </c>
      <c r="V31" s="39" t="str">
        <f>IF(T31&lt;&gt;"","9 - Closed",IF(S31&lt;&gt;"","8 - Definitive Agreement",IF(Q31&lt;&gt;"","7 - Diligence",IF(P31&lt;&gt;"","6 - LOI Signed",IF(O31&lt;&gt;"","5 - Mgmt Meeting",IF(L31&lt;&gt;"","4 - IOI Received",IF(K31&lt;&gt;"","3 - CIM Sent",IF(J31&lt;&gt;"","2 - NDA Signed",IF(I31&lt;&gt;"","1 - Teaser Sent","0 - Not Contacted")))))))))</f>
        <v>3 - CIM Sent</v>
      </c>
      <c r="W31" s="39">
        <f>IF(COUNT(G31:T31)=0,"-",Dashboard!$I$6-MAX(G31:T31))</f>
        <v>136</v>
      </c>
      <c r="X31" s="40" t="s">
        <v>814</v>
      </c>
    </row>
    <row r="32" spans="1:24" ht="15" customHeight="1">
      <c r="A32" s="31" t="s">
        <v>204</v>
      </c>
      <c r="B32" s="32" t="s">
        <v>205</v>
      </c>
      <c r="C32" s="33" t="s">
        <v>115</v>
      </c>
      <c r="D32" s="33" t="s">
        <v>80</v>
      </c>
      <c r="E32" s="32" t="s">
        <v>206</v>
      </c>
      <c r="F32" s="32" t="s">
        <v>207</v>
      </c>
      <c r="G32" s="34">
        <v>46086</v>
      </c>
      <c r="H32" s="34">
        <v>46087</v>
      </c>
      <c r="I32" s="34">
        <v>46086</v>
      </c>
      <c r="J32" s="34">
        <v>46096</v>
      </c>
      <c r="K32" s="34">
        <v>46106</v>
      </c>
      <c r="L32" s="37"/>
      <c r="M32" s="33"/>
      <c r="N32" s="33"/>
      <c r="O32" s="37"/>
      <c r="P32" s="37"/>
      <c r="Q32" s="37"/>
      <c r="R32" s="33"/>
      <c r="S32" s="37"/>
      <c r="T32" s="37"/>
      <c r="U32" s="38" t="s">
        <v>190</v>
      </c>
      <c r="V32" s="39" t="str">
        <f>IF(T32&lt;&gt;"","9 - Closed",IF(S32&lt;&gt;"","8 - Definitive Agreement",IF(Q32&lt;&gt;"","7 - Diligence",IF(P32&lt;&gt;"","6 - LOI Signed",IF(O32&lt;&gt;"","5 - Mgmt Meeting",IF(L32&lt;&gt;"","4 - IOI Received",IF(K32&lt;&gt;"","3 - CIM Sent",IF(J32&lt;&gt;"","2 - NDA Signed",IF(I32&lt;&gt;"","1 - Teaser Sent","0 - Not Contacted")))))))))</f>
        <v>3 - CIM Sent</v>
      </c>
      <c r="W32" s="39">
        <f>IF(COUNT(G32:T32)=0,"-",Dashboard!$I$6-MAX(G32:T32))</f>
        <v>138</v>
      </c>
      <c r="X32" s="40" t="s">
        <v>814</v>
      </c>
    </row>
    <row r="33" spans="1:24" ht="15" customHeight="1">
      <c r="A33" s="31" t="s">
        <v>208</v>
      </c>
      <c r="B33" s="32" t="s">
        <v>209</v>
      </c>
      <c r="C33" s="33" t="s">
        <v>115</v>
      </c>
      <c r="D33" s="33" t="s">
        <v>80</v>
      </c>
      <c r="E33" s="32" t="s">
        <v>210</v>
      </c>
      <c r="F33" s="32" t="s">
        <v>211</v>
      </c>
      <c r="G33" s="34">
        <v>46091</v>
      </c>
      <c r="H33" s="34">
        <v>46094</v>
      </c>
      <c r="I33" s="34">
        <v>46091</v>
      </c>
      <c r="J33" s="34">
        <v>46096</v>
      </c>
      <c r="K33" s="34">
        <v>46105</v>
      </c>
      <c r="L33" s="37"/>
      <c r="M33" s="33"/>
      <c r="N33" s="33"/>
      <c r="O33" s="37"/>
      <c r="P33" s="37"/>
      <c r="Q33" s="37"/>
      <c r="R33" s="33"/>
      <c r="S33" s="37"/>
      <c r="T33" s="37"/>
      <c r="U33" s="38" t="s">
        <v>190</v>
      </c>
      <c r="V33" s="39" t="str">
        <f>IF(T33&lt;&gt;"","9 - Closed",IF(S33&lt;&gt;"","8 - Definitive Agreement",IF(Q33&lt;&gt;"","7 - Diligence",IF(P33&lt;&gt;"","6 - LOI Signed",IF(O33&lt;&gt;"","5 - Mgmt Meeting",IF(L33&lt;&gt;"","4 - IOI Received",IF(K33&lt;&gt;"","3 - CIM Sent",IF(J33&lt;&gt;"","2 - NDA Signed",IF(I33&lt;&gt;"","1 - Teaser Sent","0 - Not Contacted")))))))))</f>
        <v>3 - CIM Sent</v>
      </c>
      <c r="W33" s="39">
        <f>IF(COUNT(G33:T33)=0,"-",Dashboard!$I$6-MAX(G33:T33))</f>
        <v>139</v>
      </c>
      <c r="X33" s="40" t="s">
        <v>815</v>
      </c>
    </row>
    <row r="34" spans="1:24" ht="15" customHeight="1">
      <c r="A34" s="31" t="s">
        <v>212</v>
      </c>
      <c r="B34" s="32" t="s">
        <v>213</v>
      </c>
      <c r="C34" s="33" t="s">
        <v>115</v>
      </c>
      <c r="D34" s="33" t="s">
        <v>106</v>
      </c>
      <c r="E34" s="32" t="s">
        <v>214</v>
      </c>
      <c r="F34" s="32" t="s">
        <v>215</v>
      </c>
      <c r="G34" s="34">
        <v>46102</v>
      </c>
      <c r="H34" s="34">
        <v>46106</v>
      </c>
      <c r="I34" s="34">
        <v>46102</v>
      </c>
      <c r="J34" s="34">
        <v>46111</v>
      </c>
      <c r="K34" s="34">
        <v>46115</v>
      </c>
      <c r="L34" s="37"/>
      <c r="M34" s="33"/>
      <c r="N34" s="33"/>
      <c r="O34" s="37"/>
      <c r="P34" s="37"/>
      <c r="Q34" s="37"/>
      <c r="R34" s="33"/>
      <c r="S34" s="37"/>
      <c r="T34" s="37"/>
      <c r="U34" s="38" t="s">
        <v>190</v>
      </c>
      <c r="V34" s="39" t="str">
        <f>IF(T34&lt;&gt;"","9 - Closed",IF(S34&lt;&gt;"","8 - Definitive Agreement",IF(Q34&lt;&gt;"","7 - Diligence",IF(P34&lt;&gt;"","6 - LOI Signed",IF(O34&lt;&gt;"","5 - Mgmt Meeting",IF(L34&lt;&gt;"","4 - IOI Received",IF(K34&lt;&gt;"","3 - CIM Sent",IF(J34&lt;&gt;"","2 - NDA Signed",IF(I34&lt;&gt;"","1 - Teaser Sent","0 - Not Contacted")))))))))</f>
        <v>3 - CIM Sent</v>
      </c>
      <c r="W34" s="39">
        <f>IF(COUNT(G34:T34)=0,"-",Dashboard!$I$6-MAX(G34:T34))</f>
        <v>129</v>
      </c>
      <c r="X34" s="40" t="s">
        <v>814</v>
      </c>
    </row>
    <row r="35" spans="1:24" ht="15" customHeight="1">
      <c r="A35" s="31" t="s">
        <v>216</v>
      </c>
      <c r="B35" s="32" t="s">
        <v>217</v>
      </c>
      <c r="C35" s="33" t="s">
        <v>79</v>
      </c>
      <c r="D35" s="33" t="s">
        <v>106</v>
      </c>
      <c r="E35" s="32" t="s">
        <v>218</v>
      </c>
      <c r="F35" s="32" t="s">
        <v>219</v>
      </c>
      <c r="G35" s="34">
        <v>46088</v>
      </c>
      <c r="H35" s="34">
        <v>46091</v>
      </c>
      <c r="I35" s="34">
        <v>46088</v>
      </c>
      <c r="J35" s="34">
        <v>46101</v>
      </c>
      <c r="K35" s="34">
        <v>46110</v>
      </c>
      <c r="L35" s="37"/>
      <c r="M35" s="33"/>
      <c r="N35" s="33"/>
      <c r="O35" s="37"/>
      <c r="P35" s="37"/>
      <c r="Q35" s="37"/>
      <c r="R35" s="33"/>
      <c r="S35" s="37"/>
      <c r="T35" s="37"/>
      <c r="U35" s="38" t="s">
        <v>190</v>
      </c>
      <c r="V35" s="39" t="str">
        <f>IF(T35&lt;&gt;"","9 - Closed",IF(S35&lt;&gt;"","8 - Definitive Agreement",IF(Q35&lt;&gt;"","7 - Diligence",IF(P35&lt;&gt;"","6 - LOI Signed",IF(O35&lt;&gt;"","5 - Mgmt Meeting",IF(L35&lt;&gt;"","4 - IOI Received",IF(K35&lt;&gt;"","3 - CIM Sent",IF(J35&lt;&gt;"","2 - NDA Signed",IF(I35&lt;&gt;"","1 - Teaser Sent","0 - Not Contacted")))))))))</f>
        <v>3 - CIM Sent</v>
      </c>
      <c r="W35" s="39">
        <f>IF(COUNT(G35:T35)=0,"-",Dashboard!$I$6-MAX(G35:T35))</f>
        <v>134</v>
      </c>
      <c r="X35" s="40" t="s">
        <v>815</v>
      </c>
    </row>
    <row r="36" spans="1:24" ht="15" customHeight="1">
      <c r="A36" s="31" t="s">
        <v>220</v>
      </c>
      <c r="B36" s="32" t="s">
        <v>221</v>
      </c>
      <c r="C36" s="33" t="s">
        <v>115</v>
      </c>
      <c r="D36" s="33" t="s">
        <v>80</v>
      </c>
      <c r="E36" s="32" t="s">
        <v>222</v>
      </c>
      <c r="F36" s="32" t="s">
        <v>223</v>
      </c>
      <c r="G36" s="34">
        <v>46092</v>
      </c>
      <c r="H36" s="34">
        <v>46095</v>
      </c>
      <c r="I36" s="34">
        <v>46092</v>
      </c>
      <c r="J36" s="34">
        <v>46100</v>
      </c>
      <c r="K36" s="34">
        <v>46109</v>
      </c>
      <c r="L36" s="37"/>
      <c r="M36" s="33"/>
      <c r="N36" s="33"/>
      <c r="O36" s="37"/>
      <c r="P36" s="37"/>
      <c r="Q36" s="37"/>
      <c r="R36" s="33"/>
      <c r="S36" s="37"/>
      <c r="T36" s="37"/>
      <c r="U36" s="38" t="s">
        <v>190</v>
      </c>
      <c r="V36" s="39" t="str">
        <f>IF(T36&lt;&gt;"","9 - Closed",IF(S36&lt;&gt;"","8 - Definitive Agreement",IF(Q36&lt;&gt;"","7 - Diligence",IF(P36&lt;&gt;"","6 - LOI Signed",IF(O36&lt;&gt;"","5 - Mgmt Meeting",IF(L36&lt;&gt;"","4 - IOI Received",IF(K36&lt;&gt;"","3 - CIM Sent",IF(J36&lt;&gt;"","2 - NDA Signed",IF(I36&lt;&gt;"","1 - Teaser Sent","0 - Not Contacted")))))))))</f>
        <v>3 - CIM Sent</v>
      </c>
      <c r="W36" s="39">
        <f>IF(COUNT(G36:T36)=0,"-",Dashboard!$I$6-MAX(G36:T36))</f>
        <v>135</v>
      </c>
      <c r="X36" s="40" t="s">
        <v>815</v>
      </c>
    </row>
    <row r="37" spans="1:24" ht="15" customHeight="1">
      <c r="A37" s="31" t="s">
        <v>224</v>
      </c>
      <c r="B37" s="32" t="s">
        <v>225</v>
      </c>
      <c r="C37" s="33" t="s">
        <v>99</v>
      </c>
      <c r="D37" s="33" t="s">
        <v>93</v>
      </c>
      <c r="E37" s="32" t="s">
        <v>226</v>
      </c>
      <c r="F37" s="32" t="s">
        <v>227</v>
      </c>
      <c r="G37" s="34">
        <v>46095</v>
      </c>
      <c r="H37" s="34">
        <v>46097</v>
      </c>
      <c r="I37" s="34">
        <v>46095</v>
      </c>
      <c r="J37" s="34">
        <v>46109</v>
      </c>
      <c r="K37" s="34">
        <v>46113</v>
      </c>
      <c r="L37" s="37"/>
      <c r="M37" s="33"/>
      <c r="N37" s="33"/>
      <c r="O37" s="37"/>
      <c r="P37" s="37"/>
      <c r="Q37" s="37"/>
      <c r="R37" s="33"/>
      <c r="S37" s="37"/>
      <c r="T37" s="37"/>
      <c r="U37" s="38" t="s">
        <v>190</v>
      </c>
      <c r="V37" s="39" t="str">
        <f>IF(T37&lt;&gt;"","9 - Closed",IF(S37&lt;&gt;"","8 - Definitive Agreement",IF(Q37&lt;&gt;"","7 - Diligence",IF(P37&lt;&gt;"","6 - LOI Signed",IF(O37&lt;&gt;"","5 - Mgmt Meeting",IF(L37&lt;&gt;"","4 - IOI Received",IF(K37&lt;&gt;"","3 - CIM Sent",IF(J37&lt;&gt;"","2 - NDA Signed",IF(I37&lt;&gt;"","1 - Teaser Sent","0 - Not Contacted")))))))))</f>
        <v>3 - CIM Sent</v>
      </c>
      <c r="W37" s="39">
        <f>IF(COUNT(G37:T37)=0,"-",Dashboard!$I$6-MAX(G37:T37))</f>
        <v>131</v>
      </c>
      <c r="X37" s="40" t="s">
        <v>815</v>
      </c>
    </row>
    <row r="38" spans="1:24" ht="15" customHeight="1">
      <c r="A38" s="31" t="s">
        <v>228</v>
      </c>
      <c r="B38" s="32" t="s">
        <v>229</v>
      </c>
      <c r="C38" s="33" t="s">
        <v>115</v>
      </c>
      <c r="D38" s="33" t="s">
        <v>106</v>
      </c>
      <c r="E38" s="32" t="s">
        <v>230</v>
      </c>
      <c r="F38" s="32" t="s">
        <v>231</v>
      </c>
      <c r="G38" s="34">
        <v>46101</v>
      </c>
      <c r="H38" s="34">
        <v>46104</v>
      </c>
      <c r="I38" s="34">
        <v>46101</v>
      </c>
      <c r="J38" s="34">
        <v>46109</v>
      </c>
      <c r="K38" s="34">
        <v>46114</v>
      </c>
      <c r="L38" s="37"/>
      <c r="M38" s="33"/>
      <c r="N38" s="33"/>
      <c r="O38" s="37"/>
      <c r="P38" s="37"/>
      <c r="Q38" s="37"/>
      <c r="R38" s="33"/>
      <c r="S38" s="37"/>
      <c r="T38" s="37"/>
      <c r="U38" s="38" t="s">
        <v>190</v>
      </c>
      <c r="V38" s="39" t="str">
        <f>IF(T38&lt;&gt;"","9 - Closed",IF(S38&lt;&gt;"","8 - Definitive Agreement",IF(Q38&lt;&gt;"","7 - Diligence",IF(P38&lt;&gt;"","6 - LOI Signed",IF(O38&lt;&gt;"","5 - Mgmt Meeting",IF(L38&lt;&gt;"","4 - IOI Received",IF(K38&lt;&gt;"","3 - CIM Sent",IF(J38&lt;&gt;"","2 - NDA Signed",IF(I38&lt;&gt;"","1 - Teaser Sent","0 - Not Contacted")))))))))</f>
        <v>3 - CIM Sent</v>
      </c>
      <c r="W38" s="39">
        <f>IF(COUNT(G38:T38)=0,"-",Dashboard!$I$6-MAX(G38:T38))</f>
        <v>130</v>
      </c>
      <c r="X38" s="40" t="s">
        <v>815</v>
      </c>
    </row>
    <row r="39" spans="1:24" ht="15" customHeight="1">
      <c r="A39" s="31" t="s">
        <v>232</v>
      </c>
      <c r="B39" s="32" t="s">
        <v>233</v>
      </c>
      <c r="C39" s="33" t="s">
        <v>79</v>
      </c>
      <c r="D39" s="33" t="s">
        <v>80</v>
      </c>
      <c r="E39" s="32" t="s">
        <v>234</v>
      </c>
      <c r="F39" s="32" t="s">
        <v>235</v>
      </c>
      <c r="G39" s="34">
        <v>46086</v>
      </c>
      <c r="H39" s="34">
        <v>46088</v>
      </c>
      <c r="I39" s="34">
        <v>46086</v>
      </c>
      <c r="J39" s="34">
        <v>46099</v>
      </c>
      <c r="K39" s="34">
        <v>46104</v>
      </c>
      <c r="L39" s="37"/>
      <c r="M39" s="33"/>
      <c r="N39" s="33"/>
      <c r="O39" s="37"/>
      <c r="P39" s="37"/>
      <c r="Q39" s="37"/>
      <c r="R39" s="33"/>
      <c r="S39" s="37"/>
      <c r="T39" s="37"/>
      <c r="U39" s="38" t="s">
        <v>190</v>
      </c>
      <c r="V39" s="39" t="str">
        <f>IF(T39&lt;&gt;"","9 - Closed",IF(S39&lt;&gt;"","8 - Definitive Agreement",IF(Q39&lt;&gt;"","7 - Diligence",IF(P39&lt;&gt;"","6 - LOI Signed",IF(O39&lt;&gt;"","5 - Mgmt Meeting",IF(L39&lt;&gt;"","4 - IOI Received",IF(K39&lt;&gt;"","3 - CIM Sent",IF(J39&lt;&gt;"","2 - NDA Signed",IF(I39&lt;&gt;"","1 - Teaser Sent","0 - Not Contacted")))))))))</f>
        <v>3 - CIM Sent</v>
      </c>
      <c r="W39" s="39">
        <f>IF(COUNT(G39:T39)=0,"-",Dashboard!$I$6-MAX(G39:T39))</f>
        <v>140</v>
      </c>
      <c r="X39" s="40" t="s">
        <v>815</v>
      </c>
    </row>
    <row r="40" spans="1:24" ht="15" customHeight="1">
      <c r="A40" s="31" t="s">
        <v>236</v>
      </c>
      <c r="B40" s="32" t="s">
        <v>237</v>
      </c>
      <c r="C40" s="33" t="s">
        <v>115</v>
      </c>
      <c r="D40" s="33" t="s">
        <v>80</v>
      </c>
      <c r="E40" s="32" t="s">
        <v>238</v>
      </c>
      <c r="F40" s="32" t="s">
        <v>239</v>
      </c>
      <c r="G40" s="34">
        <v>46104</v>
      </c>
      <c r="H40" s="34">
        <v>46106</v>
      </c>
      <c r="I40" s="34">
        <v>46104</v>
      </c>
      <c r="J40" s="34">
        <v>46117</v>
      </c>
      <c r="K40" s="34">
        <v>46123</v>
      </c>
      <c r="L40" s="37"/>
      <c r="M40" s="33"/>
      <c r="N40" s="33"/>
      <c r="O40" s="37"/>
      <c r="P40" s="37"/>
      <c r="Q40" s="37"/>
      <c r="R40" s="33"/>
      <c r="S40" s="37"/>
      <c r="T40" s="37"/>
      <c r="U40" s="38" t="s">
        <v>190</v>
      </c>
      <c r="V40" s="39" t="str">
        <f>IF(T40&lt;&gt;"","9 - Closed",IF(S40&lt;&gt;"","8 - Definitive Agreement",IF(Q40&lt;&gt;"","7 - Diligence",IF(P40&lt;&gt;"","6 - LOI Signed",IF(O40&lt;&gt;"","5 - Mgmt Meeting",IF(L40&lt;&gt;"","4 - IOI Received",IF(K40&lt;&gt;"","3 - CIM Sent",IF(J40&lt;&gt;"","2 - NDA Signed",IF(I40&lt;&gt;"","1 - Teaser Sent","0 - Not Contacted")))))))))</f>
        <v>3 - CIM Sent</v>
      </c>
      <c r="W40" s="39">
        <f>IF(COUNT(G40:T40)=0,"-",Dashboard!$I$6-MAX(G40:T40))</f>
        <v>121</v>
      </c>
      <c r="X40" s="40" t="s">
        <v>814</v>
      </c>
    </row>
    <row r="41" spans="1:24" ht="15" customHeight="1">
      <c r="A41" s="31" t="s">
        <v>240</v>
      </c>
      <c r="B41" s="32" t="s">
        <v>241</v>
      </c>
      <c r="C41" s="33" t="s">
        <v>115</v>
      </c>
      <c r="D41" s="33" t="s">
        <v>106</v>
      </c>
      <c r="E41" s="32" t="s">
        <v>242</v>
      </c>
      <c r="F41" s="32" t="s">
        <v>243</v>
      </c>
      <c r="G41" s="34">
        <v>46101</v>
      </c>
      <c r="H41" s="34">
        <v>46103</v>
      </c>
      <c r="I41" s="34">
        <v>46101</v>
      </c>
      <c r="J41" s="34">
        <v>46107</v>
      </c>
      <c r="K41" s="34">
        <v>46115</v>
      </c>
      <c r="L41" s="37"/>
      <c r="M41" s="33"/>
      <c r="N41" s="33"/>
      <c r="O41" s="37"/>
      <c r="P41" s="37"/>
      <c r="Q41" s="37"/>
      <c r="R41" s="33"/>
      <c r="S41" s="37"/>
      <c r="T41" s="37"/>
      <c r="U41" s="38" t="s">
        <v>190</v>
      </c>
      <c r="V41" s="39" t="str">
        <f>IF(T41&lt;&gt;"","9 - Closed",IF(S41&lt;&gt;"","8 - Definitive Agreement",IF(Q41&lt;&gt;"","7 - Diligence",IF(P41&lt;&gt;"","6 - LOI Signed",IF(O41&lt;&gt;"","5 - Mgmt Meeting",IF(L41&lt;&gt;"","4 - IOI Received",IF(K41&lt;&gt;"","3 - CIM Sent",IF(J41&lt;&gt;"","2 - NDA Signed",IF(I41&lt;&gt;"","1 - Teaser Sent","0 - Not Contacted")))))))))</f>
        <v>3 - CIM Sent</v>
      </c>
      <c r="W41" s="39">
        <f>IF(COUNT(G41:T41)=0,"-",Dashboard!$I$6-MAX(G41:T41))</f>
        <v>129</v>
      </c>
      <c r="X41" s="40" t="s">
        <v>814</v>
      </c>
    </row>
    <row r="42" spans="1:24" ht="15" customHeight="1">
      <c r="A42" s="31" t="s">
        <v>244</v>
      </c>
      <c r="B42" s="32" t="s">
        <v>245</v>
      </c>
      <c r="C42" s="33" t="s">
        <v>79</v>
      </c>
      <c r="D42" s="33" t="s">
        <v>80</v>
      </c>
      <c r="E42" s="32" t="s">
        <v>246</v>
      </c>
      <c r="F42" s="32" t="s">
        <v>247</v>
      </c>
      <c r="G42" s="34">
        <v>46096</v>
      </c>
      <c r="H42" s="34">
        <v>46097</v>
      </c>
      <c r="I42" s="34">
        <v>46096</v>
      </c>
      <c r="J42" s="34">
        <v>46109</v>
      </c>
      <c r="K42" s="34">
        <v>46113</v>
      </c>
      <c r="L42" s="37"/>
      <c r="M42" s="33"/>
      <c r="N42" s="33"/>
      <c r="O42" s="37"/>
      <c r="P42" s="37"/>
      <c r="Q42" s="37"/>
      <c r="R42" s="33"/>
      <c r="S42" s="37"/>
      <c r="T42" s="37"/>
      <c r="U42" s="38" t="s">
        <v>190</v>
      </c>
      <c r="V42" s="39" t="str">
        <f>IF(T42&lt;&gt;"","9 - Closed",IF(S42&lt;&gt;"","8 - Definitive Agreement",IF(Q42&lt;&gt;"","7 - Diligence",IF(P42&lt;&gt;"","6 - LOI Signed",IF(O42&lt;&gt;"","5 - Mgmt Meeting",IF(L42&lt;&gt;"","4 - IOI Received",IF(K42&lt;&gt;"","3 - CIM Sent",IF(J42&lt;&gt;"","2 - NDA Signed",IF(I42&lt;&gt;"","1 - Teaser Sent","0 - Not Contacted")))))))))</f>
        <v>3 - CIM Sent</v>
      </c>
      <c r="W42" s="39">
        <f>IF(COUNT(G42:T42)=0,"-",Dashboard!$I$6-MAX(G42:T42))</f>
        <v>131</v>
      </c>
      <c r="X42" s="40" t="s">
        <v>815</v>
      </c>
    </row>
    <row r="43" spans="1:24" ht="15" customHeight="1">
      <c r="A43" s="31" t="s">
        <v>248</v>
      </c>
      <c r="B43" s="32" t="s">
        <v>249</v>
      </c>
      <c r="C43" s="33" t="s">
        <v>79</v>
      </c>
      <c r="D43" s="33" t="s">
        <v>106</v>
      </c>
      <c r="E43" s="32" t="s">
        <v>250</v>
      </c>
      <c r="F43" s="32" t="s">
        <v>251</v>
      </c>
      <c r="G43" s="34">
        <v>46103</v>
      </c>
      <c r="H43" s="34">
        <v>46105</v>
      </c>
      <c r="I43" s="34">
        <v>46103</v>
      </c>
      <c r="J43" s="34">
        <v>46116</v>
      </c>
      <c r="K43" s="34">
        <v>46119</v>
      </c>
      <c r="L43" s="37"/>
      <c r="M43" s="33"/>
      <c r="N43" s="33"/>
      <c r="O43" s="37"/>
      <c r="P43" s="37"/>
      <c r="Q43" s="37"/>
      <c r="R43" s="33"/>
      <c r="S43" s="37"/>
      <c r="T43" s="37"/>
      <c r="U43" s="38" t="s">
        <v>190</v>
      </c>
      <c r="V43" s="39" t="str">
        <f>IF(T43&lt;&gt;"","9 - Closed",IF(S43&lt;&gt;"","8 - Definitive Agreement",IF(Q43&lt;&gt;"","7 - Diligence",IF(P43&lt;&gt;"","6 - LOI Signed",IF(O43&lt;&gt;"","5 - Mgmt Meeting",IF(L43&lt;&gt;"","4 - IOI Received",IF(K43&lt;&gt;"","3 - CIM Sent",IF(J43&lt;&gt;"","2 - NDA Signed",IF(I43&lt;&gt;"","1 - Teaser Sent","0 - Not Contacted")))))))))</f>
        <v>3 - CIM Sent</v>
      </c>
      <c r="W43" s="39">
        <f>IF(COUNT(G43:T43)=0,"-",Dashboard!$I$6-MAX(G43:T43))</f>
        <v>125</v>
      </c>
      <c r="X43" s="40" t="s">
        <v>815</v>
      </c>
    </row>
    <row r="44" spans="1:24" ht="15" customHeight="1">
      <c r="A44" s="31" t="s">
        <v>252</v>
      </c>
      <c r="B44" s="32" t="s">
        <v>253</v>
      </c>
      <c r="C44" s="33" t="s">
        <v>79</v>
      </c>
      <c r="D44" s="33" t="s">
        <v>93</v>
      </c>
      <c r="E44" s="32" t="s">
        <v>254</v>
      </c>
      <c r="F44" s="32" t="s">
        <v>255</v>
      </c>
      <c r="G44" s="34">
        <v>46098</v>
      </c>
      <c r="H44" s="34">
        <v>46099</v>
      </c>
      <c r="I44" s="34">
        <v>46098</v>
      </c>
      <c r="J44" s="34">
        <v>46103</v>
      </c>
      <c r="K44" s="34">
        <v>46113</v>
      </c>
      <c r="L44" s="37"/>
      <c r="M44" s="33"/>
      <c r="N44" s="33"/>
      <c r="O44" s="37"/>
      <c r="P44" s="37"/>
      <c r="Q44" s="37"/>
      <c r="R44" s="33"/>
      <c r="S44" s="37"/>
      <c r="T44" s="37"/>
      <c r="U44" s="38" t="s">
        <v>190</v>
      </c>
      <c r="V44" s="39" t="str">
        <f>IF(T44&lt;&gt;"","9 - Closed",IF(S44&lt;&gt;"","8 - Definitive Agreement",IF(Q44&lt;&gt;"","7 - Diligence",IF(P44&lt;&gt;"","6 - LOI Signed",IF(O44&lt;&gt;"","5 - Mgmt Meeting",IF(L44&lt;&gt;"","4 - IOI Received",IF(K44&lt;&gt;"","3 - CIM Sent",IF(J44&lt;&gt;"","2 - NDA Signed",IF(I44&lt;&gt;"","1 - Teaser Sent","0 - Not Contacted")))))))))</f>
        <v>3 - CIM Sent</v>
      </c>
      <c r="W44" s="39">
        <f>IF(COUNT(G44:T44)=0,"-",Dashboard!$I$6-MAX(G44:T44))</f>
        <v>131</v>
      </c>
      <c r="X44" s="40" t="s">
        <v>814</v>
      </c>
    </row>
    <row r="45" spans="1:24" ht="15" customHeight="1">
      <c r="A45" s="31" t="s">
        <v>256</v>
      </c>
      <c r="B45" s="32" t="s">
        <v>257</v>
      </c>
      <c r="C45" s="33" t="s">
        <v>115</v>
      </c>
      <c r="D45" s="33" t="s">
        <v>93</v>
      </c>
      <c r="E45" s="32" t="s">
        <v>258</v>
      </c>
      <c r="F45" s="32" t="s">
        <v>259</v>
      </c>
      <c r="G45" s="34">
        <v>46103</v>
      </c>
      <c r="H45" s="34">
        <v>46104</v>
      </c>
      <c r="I45" s="34">
        <v>46103</v>
      </c>
      <c r="J45" s="34">
        <v>46113</v>
      </c>
      <c r="K45" s="34">
        <v>46121</v>
      </c>
      <c r="L45" s="37"/>
      <c r="M45" s="33"/>
      <c r="N45" s="33"/>
      <c r="O45" s="37"/>
      <c r="P45" s="37"/>
      <c r="Q45" s="37"/>
      <c r="R45" s="33"/>
      <c r="S45" s="37"/>
      <c r="T45" s="37"/>
      <c r="U45" s="38" t="s">
        <v>190</v>
      </c>
      <c r="V45" s="39" t="str">
        <f>IF(T45&lt;&gt;"","9 - Closed",IF(S45&lt;&gt;"","8 - Definitive Agreement",IF(Q45&lt;&gt;"","7 - Diligence",IF(P45&lt;&gt;"","6 - LOI Signed",IF(O45&lt;&gt;"","5 - Mgmt Meeting",IF(L45&lt;&gt;"","4 - IOI Received",IF(K45&lt;&gt;"","3 - CIM Sent",IF(J45&lt;&gt;"","2 - NDA Signed",IF(I45&lt;&gt;"","1 - Teaser Sent","0 - Not Contacted")))))))))</f>
        <v>3 - CIM Sent</v>
      </c>
      <c r="W45" s="39">
        <f>IF(COUNT(G45:T45)=0,"-",Dashboard!$I$6-MAX(G45:T45))</f>
        <v>123</v>
      </c>
      <c r="X45" s="40" t="s">
        <v>814</v>
      </c>
    </row>
    <row r="46" spans="1:24" ht="15" customHeight="1">
      <c r="A46" s="31" t="s">
        <v>260</v>
      </c>
      <c r="B46" s="32" t="s">
        <v>261</v>
      </c>
      <c r="C46" s="33" t="s">
        <v>79</v>
      </c>
      <c r="D46" s="33" t="s">
        <v>80</v>
      </c>
      <c r="E46" s="32" t="s">
        <v>262</v>
      </c>
      <c r="F46" s="32" t="s">
        <v>263</v>
      </c>
      <c r="G46" s="34">
        <v>46087</v>
      </c>
      <c r="H46" s="34">
        <v>46088</v>
      </c>
      <c r="I46" s="34">
        <v>46087</v>
      </c>
      <c r="J46" s="34">
        <v>46097</v>
      </c>
      <c r="K46" s="34">
        <v>46104</v>
      </c>
      <c r="L46" s="37"/>
      <c r="M46" s="33"/>
      <c r="N46" s="33"/>
      <c r="O46" s="37"/>
      <c r="P46" s="37"/>
      <c r="Q46" s="37"/>
      <c r="R46" s="33"/>
      <c r="S46" s="37"/>
      <c r="T46" s="37"/>
      <c r="U46" s="38" t="s">
        <v>190</v>
      </c>
      <c r="V46" s="39" t="str">
        <f>IF(T46&lt;&gt;"","9 - Closed",IF(S46&lt;&gt;"","8 - Definitive Agreement",IF(Q46&lt;&gt;"","7 - Diligence",IF(P46&lt;&gt;"","6 - LOI Signed",IF(O46&lt;&gt;"","5 - Mgmt Meeting",IF(L46&lt;&gt;"","4 - IOI Received",IF(K46&lt;&gt;"","3 - CIM Sent",IF(J46&lt;&gt;"","2 - NDA Signed",IF(I46&lt;&gt;"","1 - Teaser Sent","0 - Not Contacted")))))))))</f>
        <v>3 - CIM Sent</v>
      </c>
      <c r="W46" s="39">
        <f>IF(COUNT(G46:T46)=0,"-",Dashboard!$I$6-MAX(G46:T46))</f>
        <v>140</v>
      </c>
      <c r="X46" s="40" t="s">
        <v>814</v>
      </c>
    </row>
    <row r="47" spans="1:24" ht="15" customHeight="1">
      <c r="A47" s="31" t="s">
        <v>264</v>
      </c>
      <c r="B47" s="32" t="s">
        <v>265</v>
      </c>
      <c r="C47" s="33" t="s">
        <v>79</v>
      </c>
      <c r="D47" s="33" t="s">
        <v>93</v>
      </c>
      <c r="E47" s="32" t="s">
        <v>266</v>
      </c>
      <c r="F47" s="32" t="s">
        <v>267</v>
      </c>
      <c r="G47" s="34">
        <v>46103</v>
      </c>
      <c r="H47" s="34">
        <v>46104</v>
      </c>
      <c r="I47" s="34">
        <v>46103</v>
      </c>
      <c r="J47" s="34">
        <v>46116</v>
      </c>
      <c r="K47" s="34">
        <v>46124</v>
      </c>
      <c r="L47" s="37"/>
      <c r="M47" s="33"/>
      <c r="N47" s="33"/>
      <c r="O47" s="37"/>
      <c r="P47" s="37"/>
      <c r="Q47" s="37"/>
      <c r="R47" s="33"/>
      <c r="S47" s="37"/>
      <c r="T47" s="37"/>
      <c r="U47" s="38" t="s">
        <v>190</v>
      </c>
      <c r="V47" s="39" t="str">
        <f>IF(T47&lt;&gt;"","9 - Closed",IF(S47&lt;&gt;"","8 - Definitive Agreement",IF(Q47&lt;&gt;"","7 - Diligence",IF(P47&lt;&gt;"","6 - LOI Signed",IF(O47&lt;&gt;"","5 - Mgmt Meeting",IF(L47&lt;&gt;"","4 - IOI Received",IF(K47&lt;&gt;"","3 - CIM Sent",IF(J47&lt;&gt;"","2 - NDA Signed",IF(I47&lt;&gt;"","1 - Teaser Sent","0 - Not Contacted")))))))))</f>
        <v>3 - CIM Sent</v>
      </c>
      <c r="W47" s="39">
        <f>IF(COUNT(G47:T47)=0,"-",Dashboard!$I$6-MAX(G47:T47))</f>
        <v>120</v>
      </c>
      <c r="X47" s="40" t="s">
        <v>815</v>
      </c>
    </row>
    <row r="48" spans="1:24" ht="15" customHeight="1">
      <c r="A48" s="31" t="s">
        <v>268</v>
      </c>
      <c r="B48" s="32" t="s">
        <v>269</v>
      </c>
      <c r="C48" s="33" t="s">
        <v>79</v>
      </c>
      <c r="D48" s="33" t="s">
        <v>93</v>
      </c>
      <c r="E48" s="32" t="s">
        <v>270</v>
      </c>
      <c r="F48" s="32" t="s">
        <v>271</v>
      </c>
      <c r="G48" s="34">
        <v>46100</v>
      </c>
      <c r="H48" s="34">
        <v>46101</v>
      </c>
      <c r="I48" s="34">
        <v>46100</v>
      </c>
      <c r="J48" s="34">
        <v>46103</v>
      </c>
      <c r="K48" s="34">
        <v>46112</v>
      </c>
      <c r="L48" s="37"/>
      <c r="M48" s="33"/>
      <c r="N48" s="33"/>
      <c r="O48" s="37"/>
      <c r="P48" s="37"/>
      <c r="Q48" s="37"/>
      <c r="R48" s="33"/>
      <c r="S48" s="37"/>
      <c r="T48" s="37"/>
      <c r="U48" s="38" t="s">
        <v>190</v>
      </c>
      <c r="V48" s="39" t="str">
        <f>IF(T48&lt;&gt;"","9 - Closed",IF(S48&lt;&gt;"","8 - Definitive Agreement",IF(Q48&lt;&gt;"","7 - Diligence",IF(P48&lt;&gt;"","6 - LOI Signed",IF(O48&lt;&gt;"","5 - Mgmt Meeting",IF(L48&lt;&gt;"","4 - IOI Received",IF(K48&lt;&gt;"","3 - CIM Sent",IF(J48&lt;&gt;"","2 - NDA Signed",IF(I48&lt;&gt;"","1 - Teaser Sent","0 - Not Contacted")))))))))</f>
        <v>3 - CIM Sent</v>
      </c>
      <c r="W48" s="39">
        <f>IF(COUNT(G48:T48)=0,"-",Dashboard!$I$6-MAX(G48:T48))</f>
        <v>132</v>
      </c>
      <c r="X48" s="40" t="s">
        <v>815</v>
      </c>
    </row>
    <row r="49" spans="1:24" ht="15" customHeight="1">
      <c r="A49" s="31" t="s">
        <v>272</v>
      </c>
      <c r="B49" s="32" t="s">
        <v>273</v>
      </c>
      <c r="C49" s="33" t="s">
        <v>115</v>
      </c>
      <c r="D49" s="33" t="s">
        <v>80</v>
      </c>
      <c r="E49" s="32" t="s">
        <v>274</v>
      </c>
      <c r="F49" s="32" t="s">
        <v>275</v>
      </c>
      <c r="G49" s="34">
        <v>46106</v>
      </c>
      <c r="H49" s="34">
        <v>46107</v>
      </c>
      <c r="I49" s="34">
        <v>46106</v>
      </c>
      <c r="J49" s="34">
        <v>46116</v>
      </c>
      <c r="K49" s="34">
        <v>46127</v>
      </c>
      <c r="L49" s="37"/>
      <c r="M49" s="33"/>
      <c r="N49" s="33"/>
      <c r="O49" s="37"/>
      <c r="P49" s="37"/>
      <c r="Q49" s="37"/>
      <c r="R49" s="33"/>
      <c r="S49" s="37"/>
      <c r="T49" s="37"/>
      <c r="U49" s="38" t="s">
        <v>190</v>
      </c>
      <c r="V49" s="39" t="str">
        <f>IF(T49&lt;&gt;"","9 - Closed",IF(S49&lt;&gt;"","8 - Definitive Agreement",IF(Q49&lt;&gt;"","7 - Diligence",IF(P49&lt;&gt;"","6 - LOI Signed",IF(O49&lt;&gt;"","5 - Mgmt Meeting",IF(L49&lt;&gt;"","4 - IOI Received",IF(K49&lt;&gt;"","3 - CIM Sent",IF(J49&lt;&gt;"","2 - NDA Signed",IF(I49&lt;&gt;"","1 - Teaser Sent","0 - Not Contacted")))))))))</f>
        <v>3 - CIM Sent</v>
      </c>
      <c r="W49" s="39">
        <f>IF(COUNT(G49:T49)=0,"-",Dashboard!$I$6-MAX(G49:T49))</f>
        <v>117</v>
      </c>
      <c r="X49" s="40" t="s">
        <v>815</v>
      </c>
    </row>
    <row r="50" spans="1:24" ht="15" customHeight="1">
      <c r="A50" s="31" t="s">
        <v>276</v>
      </c>
      <c r="B50" s="32" t="s">
        <v>277</v>
      </c>
      <c r="C50" s="33" t="s">
        <v>79</v>
      </c>
      <c r="D50" s="33" t="s">
        <v>80</v>
      </c>
      <c r="E50" s="32" t="s">
        <v>278</v>
      </c>
      <c r="F50" s="32" t="s">
        <v>279</v>
      </c>
      <c r="G50" s="34">
        <v>46090</v>
      </c>
      <c r="H50" s="34">
        <v>46091</v>
      </c>
      <c r="I50" s="34">
        <v>46090</v>
      </c>
      <c r="J50" s="34">
        <v>46098</v>
      </c>
      <c r="K50" s="34">
        <v>46104</v>
      </c>
      <c r="L50" s="37"/>
      <c r="M50" s="33"/>
      <c r="N50" s="33"/>
      <c r="O50" s="37"/>
      <c r="P50" s="37"/>
      <c r="Q50" s="37"/>
      <c r="R50" s="33"/>
      <c r="S50" s="37"/>
      <c r="T50" s="37"/>
      <c r="U50" s="38" t="s">
        <v>190</v>
      </c>
      <c r="V50" s="39" t="str">
        <f>IF(T50&lt;&gt;"","9 - Closed",IF(S50&lt;&gt;"","8 - Definitive Agreement",IF(Q50&lt;&gt;"","7 - Diligence",IF(P50&lt;&gt;"","6 - LOI Signed",IF(O50&lt;&gt;"","5 - Mgmt Meeting",IF(L50&lt;&gt;"","4 - IOI Received",IF(K50&lt;&gt;"","3 - CIM Sent",IF(J50&lt;&gt;"","2 - NDA Signed",IF(I50&lt;&gt;"","1 - Teaser Sent","0 - Not Contacted")))))))))</f>
        <v>3 - CIM Sent</v>
      </c>
      <c r="W50" s="39">
        <f>IF(COUNT(G50:T50)=0,"-",Dashboard!$I$6-MAX(G50:T50))</f>
        <v>140</v>
      </c>
      <c r="X50" s="40" t="s">
        <v>815</v>
      </c>
    </row>
    <row r="51" spans="1:24" ht="15" customHeight="1">
      <c r="A51" s="31" t="s">
        <v>280</v>
      </c>
      <c r="B51" s="32" t="s">
        <v>281</v>
      </c>
      <c r="C51" s="33" t="s">
        <v>79</v>
      </c>
      <c r="D51" s="33" t="s">
        <v>80</v>
      </c>
      <c r="E51" s="32" t="s">
        <v>282</v>
      </c>
      <c r="F51" s="32" t="s">
        <v>283</v>
      </c>
      <c r="G51" s="34">
        <v>46097</v>
      </c>
      <c r="H51" s="34">
        <v>46100</v>
      </c>
      <c r="I51" s="34">
        <v>46097</v>
      </c>
      <c r="J51" s="34">
        <v>46111</v>
      </c>
      <c r="K51" s="34">
        <v>46123</v>
      </c>
      <c r="L51" s="37"/>
      <c r="M51" s="33"/>
      <c r="N51" s="33"/>
      <c r="O51" s="37"/>
      <c r="P51" s="37"/>
      <c r="Q51" s="37"/>
      <c r="R51" s="33"/>
      <c r="S51" s="37"/>
      <c r="T51" s="37"/>
      <c r="U51" s="38" t="s">
        <v>190</v>
      </c>
      <c r="V51" s="39" t="str">
        <f>IF(T51&lt;&gt;"","9 - Closed",IF(S51&lt;&gt;"","8 - Definitive Agreement",IF(Q51&lt;&gt;"","7 - Diligence",IF(P51&lt;&gt;"","6 - LOI Signed",IF(O51&lt;&gt;"","5 - Mgmt Meeting",IF(L51&lt;&gt;"","4 - IOI Received",IF(K51&lt;&gt;"","3 - CIM Sent",IF(J51&lt;&gt;"","2 - NDA Signed",IF(I51&lt;&gt;"","1 - Teaser Sent","0 - Not Contacted")))))))))</f>
        <v>3 - CIM Sent</v>
      </c>
      <c r="W51" s="39">
        <f>IF(COUNT(G51:T51)=0,"-",Dashboard!$I$6-MAX(G51:T51))</f>
        <v>121</v>
      </c>
      <c r="X51" s="40" t="s">
        <v>814</v>
      </c>
    </row>
    <row r="52" spans="1:24" ht="15" customHeight="1">
      <c r="A52" s="31" t="s">
        <v>284</v>
      </c>
      <c r="B52" s="32" t="s">
        <v>285</v>
      </c>
      <c r="C52" s="33" t="s">
        <v>115</v>
      </c>
      <c r="D52" s="33" t="s">
        <v>80</v>
      </c>
      <c r="E52" s="32" t="s">
        <v>286</v>
      </c>
      <c r="F52" s="32" t="s">
        <v>287</v>
      </c>
      <c r="G52" s="34">
        <v>46102</v>
      </c>
      <c r="H52" s="34">
        <v>46106</v>
      </c>
      <c r="I52" s="34">
        <v>46102</v>
      </c>
      <c r="J52" s="34">
        <v>46117</v>
      </c>
      <c r="K52" s="34">
        <v>46125</v>
      </c>
      <c r="L52" s="37"/>
      <c r="M52" s="33"/>
      <c r="N52" s="33"/>
      <c r="O52" s="37"/>
      <c r="P52" s="37"/>
      <c r="Q52" s="37"/>
      <c r="R52" s="33"/>
      <c r="S52" s="37"/>
      <c r="T52" s="37"/>
      <c r="U52" s="38" t="s">
        <v>190</v>
      </c>
      <c r="V52" s="39" t="str">
        <f>IF(T52&lt;&gt;"","9 - Closed",IF(S52&lt;&gt;"","8 - Definitive Agreement",IF(Q52&lt;&gt;"","7 - Diligence",IF(P52&lt;&gt;"","6 - LOI Signed",IF(O52&lt;&gt;"","5 - Mgmt Meeting",IF(L52&lt;&gt;"","4 - IOI Received",IF(K52&lt;&gt;"","3 - CIM Sent",IF(J52&lt;&gt;"","2 - NDA Signed",IF(I52&lt;&gt;"","1 - Teaser Sent","0 - Not Contacted")))))))))</f>
        <v>3 - CIM Sent</v>
      </c>
      <c r="W52" s="39">
        <f>IF(COUNT(G52:T52)=0,"-",Dashboard!$I$6-MAX(G52:T52))</f>
        <v>119</v>
      </c>
      <c r="X52" s="40" t="s">
        <v>815</v>
      </c>
    </row>
    <row r="53" spans="1:24" ht="15" customHeight="1">
      <c r="A53" s="31" t="s">
        <v>288</v>
      </c>
      <c r="B53" s="32" t="s">
        <v>289</v>
      </c>
      <c r="C53" s="33" t="s">
        <v>115</v>
      </c>
      <c r="D53" s="33" t="s">
        <v>80</v>
      </c>
      <c r="E53" s="32" t="s">
        <v>290</v>
      </c>
      <c r="F53" s="32" t="s">
        <v>291</v>
      </c>
      <c r="G53" s="34">
        <v>46098</v>
      </c>
      <c r="H53" s="34">
        <v>46102</v>
      </c>
      <c r="I53" s="34">
        <v>46098</v>
      </c>
      <c r="J53" s="34">
        <v>46105</v>
      </c>
      <c r="K53" s="34">
        <v>46110</v>
      </c>
      <c r="L53" s="37"/>
      <c r="M53" s="33"/>
      <c r="N53" s="33"/>
      <c r="O53" s="37"/>
      <c r="P53" s="37"/>
      <c r="Q53" s="37"/>
      <c r="R53" s="33"/>
      <c r="S53" s="37"/>
      <c r="T53" s="37"/>
      <c r="U53" s="38" t="s">
        <v>190</v>
      </c>
      <c r="V53" s="39" t="str">
        <f>IF(T53&lt;&gt;"","9 - Closed",IF(S53&lt;&gt;"","8 - Definitive Agreement",IF(Q53&lt;&gt;"","7 - Diligence",IF(P53&lt;&gt;"","6 - LOI Signed",IF(O53&lt;&gt;"","5 - Mgmt Meeting",IF(L53&lt;&gt;"","4 - IOI Received",IF(K53&lt;&gt;"","3 - CIM Sent",IF(J53&lt;&gt;"","2 - NDA Signed",IF(I53&lt;&gt;"","1 - Teaser Sent","0 - Not Contacted")))))))))</f>
        <v>3 - CIM Sent</v>
      </c>
      <c r="W53" s="39">
        <f>IF(COUNT(G53:T53)=0,"-",Dashboard!$I$6-MAX(G53:T53))</f>
        <v>134</v>
      </c>
      <c r="X53" s="40" t="s">
        <v>814</v>
      </c>
    </row>
    <row r="54" spans="1:24" ht="15" customHeight="1">
      <c r="A54" s="31" t="s">
        <v>292</v>
      </c>
      <c r="B54" s="32" t="s">
        <v>293</v>
      </c>
      <c r="C54" s="33" t="s">
        <v>79</v>
      </c>
      <c r="D54" s="33" t="s">
        <v>106</v>
      </c>
      <c r="E54" s="32" t="s">
        <v>294</v>
      </c>
      <c r="F54" s="32" t="s">
        <v>295</v>
      </c>
      <c r="G54" s="34">
        <v>46089</v>
      </c>
      <c r="H54" s="34">
        <v>46091</v>
      </c>
      <c r="I54" s="34">
        <v>46089</v>
      </c>
      <c r="J54" s="34">
        <v>46099</v>
      </c>
      <c r="K54" s="34">
        <v>46100</v>
      </c>
      <c r="L54" s="37"/>
      <c r="M54" s="33"/>
      <c r="N54" s="33"/>
      <c r="O54" s="37"/>
      <c r="P54" s="37"/>
      <c r="Q54" s="37"/>
      <c r="R54" s="33"/>
      <c r="S54" s="37"/>
      <c r="T54" s="37"/>
      <c r="U54" s="38" t="s">
        <v>190</v>
      </c>
      <c r="V54" s="39" t="str">
        <f>IF(T54&lt;&gt;"","9 - Closed",IF(S54&lt;&gt;"","8 - Definitive Agreement",IF(Q54&lt;&gt;"","7 - Diligence",IF(P54&lt;&gt;"","6 - LOI Signed",IF(O54&lt;&gt;"","5 - Mgmt Meeting",IF(L54&lt;&gt;"","4 - IOI Received",IF(K54&lt;&gt;"","3 - CIM Sent",IF(J54&lt;&gt;"","2 - NDA Signed",IF(I54&lt;&gt;"","1 - Teaser Sent","0 - Not Contacted")))))))))</f>
        <v>3 - CIM Sent</v>
      </c>
      <c r="W54" s="39">
        <f>IF(COUNT(G54:T54)=0,"-",Dashboard!$I$6-MAX(G54:T54))</f>
        <v>144</v>
      </c>
      <c r="X54" s="40" t="s">
        <v>814</v>
      </c>
    </row>
    <row r="55" spans="1:24" ht="15" customHeight="1">
      <c r="A55" s="31" t="s">
        <v>296</v>
      </c>
      <c r="B55" s="32" t="s">
        <v>297</v>
      </c>
      <c r="C55" s="33" t="s">
        <v>115</v>
      </c>
      <c r="D55" s="33" t="s">
        <v>80</v>
      </c>
      <c r="E55" s="32" t="s">
        <v>298</v>
      </c>
      <c r="F55" s="32" t="s">
        <v>299</v>
      </c>
      <c r="G55" s="34">
        <v>46091</v>
      </c>
      <c r="H55" s="34">
        <v>46093</v>
      </c>
      <c r="I55" s="34">
        <v>46091</v>
      </c>
      <c r="J55" s="34">
        <v>46101</v>
      </c>
      <c r="K55" s="34">
        <v>46102</v>
      </c>
      <c r="L55" s="37"/>
      <c r="M55" s="33"/>
      <c r="N55" s="33"/>
      <c r="O55" s="37"/>
      <c r="P55" s="37"/>
      <c r="Q55" s="37"/>
      <c r="R55" s="33"/>
      <c r="S55" s="37"/>
      <c r="T55" s="37"/>
      <c r="U55" s="38" t="s">
        <v>190</v>
      </c>
      <c r="V55" s="39" t="str">
        <f>IF(T55&lt;&gt;"","9 - Closed",IF(S55&lt;&gt;"","8 - Definitive Agreement",IF(Q55&lt;&gt;"","7 - Diligence",IF(P55&lt;&gt;"","6 - LOI Signed",IF(O55&lt;&gt;"","5 - Mgmt Meeting",IF(L55&lt;&gt;"","4 - IOI Received",IF(K55&lt;&gt;"","3 - CIM Sent",IF(J55&lt;&gt;"","2 - NDA Signed",IF(I55&lt;&gt;"","1 - Teaser Sent","0 - Not Contacted")))))))))</f>
        <v>3 - CIM Sent</v>
      </c>
      <c r="W55" s="39">
        <f>IF(COUNT(G55:T55)=0,"-",Dashboard!$I$6-MAX(G55:T55))</f>
        <v>142</v>
      </c>
      <c r="X55" s="40" t="s">
        <v>814</v>
      </c>
    </row>
    <row r="56" spans="1:24" ht="15" customHeight="1">
      <c r="A56" s="31" t="s">
        <v>300</v>
      </c>
      <c r="B56" s="32" t="s">
        <v>301</v>
      </c>
      <c r="C56" s="33" t="s">
        <v>79</v>
      </c>
      <c r="D56" s="33" t="s">
        <v>93</v>
      </c>
      <c r="E56" s="32" t="s">
        <v>302</v>
      </c>
      <c r="F56" s="32" t="s">
        <v>303</v>
      </c>
      <c r="G56" s="34">
        <v>46091</v>
      </c>
      <c r="H56" s="34">
        <v>46095</v>
      </c>
      <c r="I56" s="34">
        <v>46091</v>
      </c>
      <c r="J56" s="34">
        <v>46103</v>
      </c>
      <c r="K56" s="34">
        <v>46104</v>
      </c>
      <c r="L56" s="37"/>
      <c r="M56" s="33"/>
      <c r="N56" s="33"/>
      <c r="O56" s="37"/>
      <c r="P56" s="37"/>
      <c r="Q56" s="37"/>
      <c r="R56" s="33"/>
      <c r="S56" s="37"/>
      <c r="T56" s="37"/>
      <c r="U56" s="38" t="s">
        <v>190</v>
      </c>
      <c r="V56" s="39" t="str">
        <f>IF(T56&lt;&gt;"","9 - Closed",IF(S56&lt;&gt;"","8 - Definitive Agreement",IF(Q56&lt;&gt;"","7 - Diligence",IF(P56&lt;&gt;"","6 - LOI Signed",IF(O56&lt;&gt;"","5 - Mgmt Meeting",IF(L56&lt;&gt;"","4 - IOI Received",IF(K56&lt;&gt;"","3 - CIM Sent",IF(J56&lt;&gt;"","2 - NDA Signed",IF(I56&lt;&gt;"","1 - Teaser Sent","0 - Not Contacted")))))))))</f>
        <v>3 - CIM Sent</v>
      </c>
      <c r="W56" s="39">
        <f>IF(COUNT(G56:T56)=0,"-",Dashboard!$I$6-MAX(G56:T56))</f>
        <v>140</v>
      </c>
      <c r="X56" s="40" t="s">
        <v>814</v>
      </c>
    </row>
    <row r="57" spans="1:24" ht="15" customHeight="1">
      <c r="A57" s="31" t="s">
        <v>304</v>
      </c>
      <c r="B57" s="32" t="s">
        <v>305</v>
      </c>
      <c r="C57" s="33" t="s">
        <v>115</v>
      </c>
      <c r="D57" s="33" t="s">
        <v>80</v>
      </c>
      <c r="E57" s="32" t="s">
        <v>306</v>
      </c>
      <c r="F57" s="32" t="s">
        <v>307</v>
      </c>
      <c r="G57" s="34">
        <v>46089</v>
      </c>
      <c r="H57" s="34">
        <v>46090</v>
      </c>
      <c r="I57" s="34">
        <v>46089</v>
      </c>
      <c r="J57" s="34">
        <v>46097</v>
      </c>
      <c r="K57" s="34">
        <v>46098</v>
      </c>
      <c r="L57" s="37"/>
      <c r="M57" s="33"/>
      <c r="N57" s="33"/>
      <c r="O57" s="37"/>
      <c r="P57" s="37"/>
      <c r="Q57" s="37"/>
      <c r="R57" s="33"/>
      <c r="S57" s="37"/>
      <c r="T57" s="37"/>
      <c r="U57" s="38" t="s">
        <v>190</v>
      </c>
      <c r="V57" s="39" t="str">
        <f>IF(T57&lt;&gt;"","9 - Closed",IF(S57&lt;&gt;"","8 - Definitive Agreement",IF(Q57&lt;&gt;"","7 - Diligence",IF(P57&lt;&gt;"","6 - LOI Signed",IF(O57&lt;&gt;"","5 - Mgmt Meeting",IF(L57&lt;&gt;"","4 - IOI Received",IF(K57&lt;&gt;"","3 - CIM Sent",IF(J57&lt;&gt;"","2 - NDA Signed",IF(I57&lt;&gt;"","1 - Teaser Sent","0 - Not Contacted")))))))))</f>
        <v>3 - CIM Sent</v>
      </c>
      <c r="W57" s="39">
        <f>IF(COUNT(G57:T57)=0,"-",Dashboard!$I$6-MAX(G57:T57))</f>
        <v>146</v>
      </c>
      <c r="X57" s="40" t="s">
        <v>814</v>
      </c>
    </row>
    <row r="58" spans="1:24" ht="15" customHeight="1">
      <c r="A58" s="31" t="s">
        <v>308</v>
      </c>
      <c r="B58" s="32" t="s">
        <v>309</v>
      </c>
      <c r="C58" s="33" t="s">
        <v>115</v>
      </c>
      <c r="D58" s="33" t="s">
        <v>93</v>
      </c>
      <c r="E58" s="32" t="s">
        <v>310</v>
      </c>
      <c r="F58" s="32" t="s">
        <v>311</v>
      </c>
      <c r="G58" s="34">
        <v>46098</v>
      </c>
      <c r="H58" s="34">
        <v>46101</v>
      </c>
      <c r="I58" s="34">
        <v>46098</v>
      </c>
      <c r="J58" s="34">
        <v>46113</v>
      </c>
      <c r="K58" s="34">
        <v>46114</v>
      </c>
      <c r="L58" s="37"/>
      <c r="M58" s="33"/>
      <c r="N58" s="33"/>
      <c r="O58" s="37"/>
      <c r="P58" s="37"/>
      <c r="Q58" s="37"/>
      <c r="R58" s="33"/>
      <c r="S58" s="37"/>
      <c r="T58" s="37"/>
      <c r="U58" s="38" t="s">
        <v>190</v>
      </c>
      <c r="V58" s="39" t="str">
        <f>IF(T58&lt;&gt;"","9 - Closed",IF(S58&lt;&gt;"","8 - Definitive Agreement",IF(Q58&lt;&gt;"","7 - Diligence",IF(P58&lt;&gt;"","6 - LOI Signed",IF(O58&lt;&gt;"","5 - Mgmt Meeting",IF(L58&lt;&gt;"","4 - IOI Received",IF(K58&lt;&gt;"","3 - CIM Sent",IF(J58&lt;&gt;"","2 - NDA Signed",IF(I58&lt;&gt;"","1 - Teaser Sent","0 - Not Contacted")))))))))</f>
        <v>3 - CIM Sent</v>
      </c>
      <c r="W58" s="39">
        <f>IF(COUNT(G58:T58)=0,"-",Dashboard!$I$6-MAX(G58:T58))</f>
        <v>130</v>
      </c>
      <c r="X58" s="40" t="s">
        <v>814</v>
      </c>
    </row>
    <row r="59" spans="1:24" ht="15" customHeight="1">
      <c r="A59" s="31" t="s">
        <v>312</v>
      </c>
      <c r="B59" s="32" t="s">
        <v>313</v>
      </c>
      <c r="C59" s="33" t="s">
        <v>115</v>
      </c>
      <c r="D59" s="33" t="s">
        <v>80</v>
      </c>
      <c r="E59" s="32" t="s">
        <v>314</v>
      </c>
      <c r="F59" s="32" t="s">
        <v>315</v>
      </c>
      <c r="G59" s="34">
        <v>46098</v>
      </c>
      <c r="H59" s="34">
        <v>46101</v>
      </c>
      <c r="I59" s="34">
        <v>46098</v>
      </c>
      <c r="J59" s="34">
        <v>46105</v>
      </c>
      <c r="K59" s="34">
        <v>46107</v>
      </c>
      <c r="L59" s="37"/>
      <c r="M59" s="33"/>
      <c r="N59" s="33"/>
      <c r="O59" s="37"/>
      <c r="P59" s="37"/>
      <c r="Q59" s="37"/>
      <c r="R59" s="33"/>
      <c r="S59" s="37"/>
      <c r="T59" s="37"/>
      <c r="U59" s="38" t="s">
        <v>190</v>
      </c>
      <c r="V59" s="39" t="str">
        <f>IF(T59&lt;&gt;"","9 - Closed",IF(S59&lt;&gt;"","8 - Definitive Agreement",IF(Q59&lt;&gt;"","7 - Diligence",IF(P59&lt;&gt;"","6 - LOI Signed",IF(O59&lt;&gt;"","5 - Mgmt Meeting",IF(L59&lt;&gt;"","4 - IOI Received",IF(K59&lt;&gt;"","3 - CIM Sent",IF(J59&lt;&gt;"","2 - NDA Signed",IF(I59&lt;&gt;"","1 - Teaser Sent","0 - Not Contacted")))))))))</f>
        <v>3 - CIM Sent</v>
      </c>
      <c r="W59" s="39">
        <f>IF(COUNT(G59:T59)=0,"-",Dashboard!$I$6-MAX(G59:T59))</f>
        <v>137</v>
      </c>
      <c r="X59" s="40" t="s">
        <v>814</v>
      </c>
    </row>
    <row r="60" spans="1:24" ht="15" customHeight="1">
      <c r="A60" s="31" t="s">
        <v>316</v>
      </c>
      <c r="B60" s="32" t="s">
        <v>317</v>
      </c>
      <c r="C60" s="33" t="s">
        <v>115</v>
      </c>
      <c r="D60" s="33" t="s">
        <v>80</v>
      </c>
      <c r="E60" s="32" t="s">
        <v>318</v>
      </c>
      <c r="F60" s="32" t="s">
        <v>319</v>
      </c>
      <c r="G60" s="34">
        <v>46108</v>
      </c>
      <c r="H60" s="34">
        <v>46112</v>
      </c>
      <c r="I60" s="34">
        <v>46108</v>
      </c>
      <c r="J60" s="34">
        <v>46115</v>
      </c>
      <c r="K60" s="34">
        <v>46115</v>
      </c>
      <c r="L60" s="37"/>
      <c r="M60" s="33"/>
      <c r="N60" s="33"/>
      <c r="O60" s="37"/>
      <c r="P60" s="37"/>
      <c r="Q60" s="37"/>
      <c r="R60" s="33"/>
      <c r="S60" s="37"/>
      <c r="T60" s="37"/>
      <c r="U60" s="38" t="s">
        <v>190</v>
      </c>
      <c r="V60" s="39" t="str">
        <f>IF(T60&lt;&gt;"","9 - Closed",IF(S60&lt;&gt;"","8 - Definitive Agreement",IF(Q60&lt;&gt;"","7 - Diligence",IF(P60&lt;&gt;"","6 - LOI Signed",IF(O60&lt;&gt;"","5 - Mgmt Meeting",IF(L60&lt;&gt;"","4 - IOI Received",IF(K60&lt;&gt;"","3 - CIM Sent",IF(J60&lt;&gt;"","2 - NDA Signed",IF(I60&lt;&gt;"","1 - Teaser Sent","0 - Not Contacted")))))))))</f>
        <v>3 - CIM Sent</v>
      </c>
      <c r="W60" s="39">
        <f>IF(COUNT(G60:T60)=0,"-",Dashboard!$I$6-MAX(G60:T60))</f>
        <v>129</v>
      </c>
      <c r="X60" s="40" t="s">
        <v>814</v>
      </c>
    </row>
    <row r="61" spans="1:24" ht="15" customHeight="1">
      <c r="A61" s="31" t="s">
        <v>320</v>
      </c>
      <c r="B61" s="32" t="s">
        <v>321</v>
      </c>
      <c r="C61" s="33" t="s">
        <v>115</v>
      </c>
      <c r="D61" s="33" t="s">
        <v>80</v>
      </c>
      <c r="E61" s="32" t="s">
        <v>322</v>
      </c>
      <c r="F61" s="32" t="s">
        <v>323</v>
      </c>
      <c r="G61" s="34">
        <v>46095</v>
      </c>
      <c r="H61" s="34">
        <v>46096</v>
      </c>
      <c r="I61" s="34">
        <v>46095</v>
      </c>
      <c r="J61" s="34">
        <v>46099</v>
      </c>
      <c r="K61" s="34">
        <v>46100</v>
      </c>
      <c r="L61" s="37"/>
      <c r="M61" s="33"/>
      <c r="N61" s="33"/>
      <c r="O61" s="37"/>
      <c r="P61" s="37"/>
      <c r="Q61" s="37"/>
      <c r="R61" s="33"/>
      <c r="S61" s="37"/>
      <c r="T61" s="37"/>
      <c r="U61" s="38" t="s">
        <v>190</v>
      </c>
      <c r="V61" s="39" t="str">
        <f>IF(T61&lt;&gt;"","9 - Closed",IF(S61&lt;&gt;"","8 - Definitive Agreement",IF(Q61&lt;&gt;"","7 - Diligence",IF(P61&lt;&gt;"","6 - LOI Signed",IF(O61&lt;&gt;"","5 - Mgmt Meeting",IF(L61&lt;&gt;"","4 - IOI Received",IF(K61&lt;&gt;"","3 - CIM Sent",IF(J61&lt;&gt;"","2 - NDA Signed",IF(I61&lt;&gt;"","1 - Teaser Sent","0 - Not Contacted")))))))))</f>
        <v>3 - CIM Sent</v>
      </c>
      <c r="W61" s="39">
        <f>IF(COUNT(G61:T61)=0,"-",Dashboard!$I$6-MAX(G61:T61))</f>
        <v>144</v>
      </c>
      <c r="X61" s="40" t="s">
        <v>814</v>
      </c>
    </row>
    <row r="62" spans="1:24" ht="15" customHeight="1">
      <c r="A62" s="31" t="s">
        <v>324</v>
      </c>
      <c r="B62" s="32" t="s">
        <v>325</v>
      </c>
      <c r="C62" s="33" t="s">
        <v>79</v>
      </c>
      <c r="D62" s="33" t="s">
        <v>80</v>
      </c>
      <c r="E62" s="32" t="s">
        <v>326</v>
      </c>
      <c r="F62" s="32" t="s">
        <v>327</v>
      </c>
      <c r="G62" s="34">
        <v>46101</v>
      </c>
      <c r="H62" s="34">
        <v>46102</v>
      </c>
      <c r="I62" s="34">
        <v>46101</v>
      </c>
      <c r="J62" s="34">
        <v>46109</v>
      </c>
      <c r="K62" s="34">
        <v>46109</v>
      </c>
      <c r="L62" s="37"/>
      <c r="M62" s="33"/>
      <c r="N62" s="33"/>
      <c r="O62" s="37"/>
      <c r="P62" s="37"/>
      <c r="Q62" s="37"/>
      <c r="R62" s="33"/>
      <c r="S62" s="37"/>
      <c r="T62" s="37"/>
      <c r="U62" s="38" t="s">
        <v>190</v>
      </c>
      <c r="V62" s="39" t="str">
        <f>IF(T62&lt;&gt;"","9 - Closed",IF(S62&lt;&gt;"","8 - Definitive Agreement",IF(Q62&lt;&gt;"","7 - Diligence",IF(P62&lt;&gt;"","6 - LOI Signed",IF(O62&lt;&gt;"","5 - Mgmt Meeting",IF(L62&lt;&gt;"","4 - IOI Received",IF(K62&lt;&gt;"","3 - CIM Sent",IF(J62&lt;&gt;"","2 - NDA Signed",IF(I62&lt;&gt;"","1 - Teaser Sent","0 - Not Contacted")))))))))</f>
        <v>3 - CIM Sent</v>
      </c>
      <c r="W62" s="39">
        <f>IF(COUNT(G62:T62)=0,"-",Dashboard!$I$6-MAX(G62:T62))</f>
        <v>135</v>
      </c>
      <c r="X62" s="40" t="s">
        <v>814</v>
      </c>
    </row>
    <row r="63" spans="1:24" ht="15" customHeight="1">
      <c r="A63" s="31" t="s">
        <v>328</v>
      </c>
      <c r="B63" s="32" t="s">
        <v>329</v>
      </c>
      <c r="C63" s="33" t="s">
        <v>79</v>
      </c>
      <c r="D63" s="33" t="s">
        <v>80</v>
      </c>
      <c r="E63" s="32" t="s">
        <v>330</v>
      </c>
      <c r="F63" s="32" t="s">
        <v>331</v>
      </c>
      <c r="G63" s="34">
        <v>46094</v>
      </c>
      <c r="H63" s="34">
        <v>46095</v>
      </c>
      <c r="I63" s="34">
        <v>46094</v>
      </c>
      <c r="J63" s="34">
        <v>46106</v>
      </c>
      <c r="K63" s="34">
        <v>46108</v>
      </c>
      <c r="L63" s="37"/>
      <c r="M63" s="33"/>
      <c r="N63" s="33"/>
      <c r="O63" s="37"/>
      <c r="P63" s="37"/>
      <c r="Q63" s="37"/>
      <c r="R63" s="33"/>
      <c r="S63" s="37"/>
      <c r="T63" s="37"/>
      <c r="U63" s="38" t="s">
        <v>190</v>
      </c>
      <c r="V63" s="39" t="str">
        <f>IF(T63&lt;&gt;"","9 - Closed",IF(S63&lt;&gt;"","8 - Definitive Agreement",IF(Q63&lt;&gt;"","7 - Diligence",IF(P63&lt;&gt;"","6 - LOI Signed",IF(O63&lt;&gt;"","5 - Mgmt Meeting",IF(L63&lt;&gt;"","4 - IOI Received",IF(K63&lt;&gt;"","3 - CIM Sent",IF(J63&lt;&gt;"","2 - NDA Signed",IF(I63&lt;&gt;"","1 - Teaser Sent","0 - Not Contacted")))))))))</f>
        <v>3 - CIM Sent</v>
      </c>
      <c r="W63" s="39">
        <f>IF(COUNT(G63:T63)=0,"-",Dashboard!$I$6-MAX(G63:T63))</f>
        <v>136</v>
      </c>
      <c r="X63" s="40" t="s">
        <v>814</v>
      </c>
    </row>
    <row r="64" spans="1:24" ht="15" customHeight="1">
      <c r="A64" s="31" t="s">
        <v>332</v>
      </c>
      <c r="B64" s="32" t="s">
        <v>333</v>
      </c>
      <c r="C64" s="33" t="s">
        <v>79</v>
      </c>
      <c r="D64" s="33" t="s">
        <v>80</v>
      </c>
      <c r="E64" s="32" t="s">
        <v>334</v>
      </c>
      <c r="F64" s="32" t="s">
        <v>335</v>
      </c>
      <c r="G64" s="34">
        <v>46094</v>
      </c>
      <c r="H64" s="34">
        <v>46097</v>
      </c>
      <c r="I64" s="34">
        <v>46094</v>
      </c>
      <c r="J64" s="34">
        <v>46109</v>
      </c>
      <c r="K64" s="34">
        <v>46109</v>
      </c>
      <c r="L64" s="37"/>
      <c r="M64" s="33"/>
      <c r="N64" s="33"/>
      <c r="O64" s="37"/>
      <c r="P64" s="37"/>
      <c r="Q64" s="37"/>
      <c r="R64" s="33"/>
      <c r="S64" s="37"/>
      <c r="T64" s="37"/>
      <c r="U64" s="38" t="s">
        <v>190</v>
      </c>
      <c r="V64" s="39" t="str">
        <f>IF(T64&lt;&gt;"","9 - Closed",IF(S64&lt;&gt;"","8 - Definitive Agreement",IF(Q64&lt;&gt;"","7 - Diligence",IF(P64&lt;&gt;"","6 - LOI Signed",IF(O64&lt;&gt;"","5 - Mgmt Meeting",IF(L64&lt;&gt;"","4 - IOI Received",IF(K64&lt;&gt;"","3 - CIM Sent",IF(J64&lt;&gt;"","2 - NDA Signed",IF(I64&lt;&gt;"","1 - Teaser Sent","0 - Not Contacted")))))))))</f>
        <v>3 - CIM Sent</v>
      </c>
      <c r="W64" s="39">
        <f>IF(COUNT(G64:T64)=0,"-",Dashboard!$I$6-MAX(G64:T64))</f>
        <v>135</v>
      </c>
      <c r="X64" s="40" t="s">
        <v>814</v>
      </c>
    </row>
    <row r="65" spans="1:24" ht="15" customHeight="1">
      <c r="A65" s="31" t="s">
        <v>336</v>
      </c>
      <c r="B65" s="32" t="s">
        <v>337</v>
      </c>
      <c r="C65" s="33" t="s">
        <v>79</v>
      </c>
      <c r="D65" s="33" t="s">
        <v>80</v>
      </c>
      <c r="E65" s="32" t="s">
        <v>338</v>
      </c>
      <c r="F65" s="32" t="s">
        <v>339</v>
      </c>
      <c r="G65" s="34">
        <v>46091</v>
      </c>
      <c r="H65" s="34">
        <v>46095</v>
      </c>
      <c r="I65" s="34">
        <v>46091</v>
      </c>
      <c r="J65" s="34">
        <v>46102</v>
      </c>
      <c r="K65" s="34">
        <v>46104</v>
      </c>
      <c r="L65" s="37"/>
      <c r="M65" s="33"/>
      <c r="N65" s="33"/>
      <c r="O65" s="37"/>
      <c r="P65" s="37"/>
      <c r="Q65" s="37"/>
      <c r="R65" s="33"/>
      <c r="S65" s="37"/>
      <c r="T65" s="37"/>
      <c r="U65" s="38" t="s">
        <v>190</v>
      </c>
      <c r="V65" s="39" t="str">
        <f>IF(T65&lt;&gt;"","9 - Closed",IF(S65&lt;&gt;"","8 - Definitive Agreement",IF(Q65&lt;&gt;"","7 - Diligence",IF(P65&lt;&gt;"","6 - LOI Signed",IF(O65&lt;&gt;"","5 - Mgmt Meeting",IF(L65&lt;&gt;"","4 - IOI Received",IF(K65&lt;&gt;"","3 - CIM Sent",IF(J65&lt;&gt;"","2 - NDA Signed",IF(I65&lt;&gt;"","1 - Teaser Sent","0 - Not Contacted")))))))))</f>
        <v>3 - CIM Sent</v>
      </c>
      <c r="W65" s="39">
        <f>IF(COUNT(G65:T65)=0,"-",Dashboard!$I$6-MAX(G65:T65))</f>
        <v>140</v>
      </c>
      <c r="X65" s="40" t="s">
        <v>814</v>
      </c>
    </row>
    <row r="66" spans="1:24" ht="15" customHeight="1">
      <c r="A66" s="31" t="s">
        <v>340</v>
      </c>
      <c r="B66" s="32" t="s">
        <v>341</v>
      </c>
      <c r="C66" s="33" t="s">
        <v>115</v>
      </c>
      <c r="D66" s="33" t="s">
        <v>93</v>
      </c>
      <c r="E66" s="32" t="s">
        <v>342</v>
      </c>
      <c r="F66" s="32" t="s">
        <v>343</v>
      </c>
      <c r="G66" s="34">
        <v>46093</v>
      </c>
      <c r="H66" s="34">
        <v>46097</v>
      </c>
      <c r="I66" s="34">
        <v>46093</v>
      </c>
      <c r="J66" s="34">
        <v>46099</v>
      </c>
      <c r="K66" s="34">
        <v>46100</v>
      </c>
      <c r="L66" s="37"/>
      <c r="M66" s="33"/>
      <c r="N66" s="33"/>
      <c r="O66" s="37"/>
      <c r="P66" s="37"/>
      <c r="Q66" s="37"/>
      <c r="R66" s="33"/>
      <c r="S66" s="37"/>
      <c r="T66" s="37"/>
      <c r="U66" s="38" t="s">
        <v>190</v>
      </c>
      <c r="V66" s="39" t="str">
        <f>IF(T66&lt;&gt;"","9 - Closed",IF(S66&lt;&gt;"","8 - Definitive Agreement",IF(Q66&lt;&gt;"","7 - Diligence",IF(P66&lt;&gt;"","6 - LOI Signed",IF(O66&lt;&gt;"","5 - Mgmt Meeting",IF(L66&lt;&gt;"","4 - IOI Received",IF(K66&lt;&gt;"","3 - CIM Sent",IF(J66&lt;&gt;"","2 - NDA Signed",IF(I66&lt;&gt;"","1 - Teaser Sent","0 - Not Contacted")))))))))</f>
        <v>3 - CIM Sent</v>
      </c>
      <c r="W66" s="39">
        <f>IF(COUNT(G66:T66)=0,"-",Dashboard!$I$6-MAX(G66:T66))</f>
        <v>144</v>
      </c>
      <c r="X66" s="40" t="s">
        <v>814</v>
      </c>
    </row>
    <row r="67" spans="1:24" ht="15" customHeight="1">
      <c r="A67" s="31" t="s">
        <v>344</v>
      </c>
      <c r="B67" s="32" t="s">
        <v>345</v>
      </c>
      <c r="C67" s="33" t="s">
        <v>79</v>
      </c>
      <c r="D67" s="33" t="s">
        <v>80</v>
      </c>
      <c r="E67" s="32" t="s">
        <v>346</v>
      </c>
      <c r="F67" s="32" t="s">
        <v>347</v>
      </c>
      <c r="G67" s="34">
        <v>46107</v>
      </c>
      <c r="H67" s="34">
        <v>46110</v>
      </c>
      <c r="I67" s="34">
        <v>46107</v>
      </c>
      <c r="J67" s="34">
        <v>46117</v>
      </c>
      <c r="K67" s="34">
        <v>46117</v>
      </c>
      <c r="L67" s="37"/>
      <c r="M67" s="33"/>
      <c r="N67" s="33"/>
      <c r="O67" s="37"/>
      <c r="P67" s="37"/>
      <c r="Q67" s="37"/>
      <c r="R67" s="33"/>
      <c r="S67" s="37"/>
      <c r="T67" s="37"/>
      <c r="U67" s="38" t="s">
        <v>190</v>
      </c>
      <c r="V67" s="39" t="str">
        <f>IF(T67&lt;&gt;"","9 - Closed",IF(S67&lt;&gt;"","8 - Definitive Agreement",IF(Q67&lt;&gt;"","7 - Diligence",IF(P67&lt;&gt;"","6 - LOI Signed",IF(O67&lt;&gt;"","5 - Mgmt Meeting",IF(L67&lt;&gt;"","4 - IOI Received",IF(K67&lt;&gt;"","3 - CIM Sent",IF(J67&lt;&gt;"","2 - NDA Signed",IF(I67&lt;&gt;"","1 - Teaser Sent","0 - Not Contacted")))))))))</f>
        <v>3 - CIM Sent</v>
      </c>
      <c r="W67" s="39">
        <f>IF(COUNT(G67:T67)=0,"-",Dashboard!$I$6-MAX(G67:T67))</f>
        <v>127</v>
      </c>
      <c r="X67" s="40" t="s">
        <v>814</v>
      </c>
    </row>
    <row r="68" spans="1:24" ht="15" customHeight="1">
      <c r="A68" s="31" t="s">
        <v>348</v>
      </c>
      <c r="B68" s="32" t="s">
        <v>349</v>
      </c>
      <c r="C68" s="33" t="s">
        <v>115</v>
      </c>
      <c r="D68" s="33" t="s">
        <v>106</v>
      </c>
      <c r="E68" s="32" t="s">
        <v>350</v>
      </c>
      <c r="F68" s="32" t="s">
        <v>351</v>
      </c>
      <c r="G68" s="34">
        <v>46106</v>
      </c>
      <c r="H68" s="34">
        <v>46108</v>
      </c>
      <c r="I68" s="34">
        <v>46106</v>
      </c>
      <c r="J68" s="34">
        <v>46112</v>
      </c>
      <c r="K68" s="34">
        <v>46114</v>
      </c>
      <c r="L68" s="37"/>
      <c r="M68" s="33"/>
      <c r="N68" s="33"/>
      <c r="O68" s="37"/>
      <c r="P68" s="37"/>
      <c r="Q68" s="37"/>
      <c r="R68" s="33"/>
      <c r="S68" s="37"/>
      <c r="T68" s="37"/>
      <c r="U68" s="38" t="s">
        <v>190</v>
      </c>
      <c r="V68" s="39" t="str">
        <f>IF(T68&lt;&gt;"","9 - Closed",IF(S68&lt;&gt;"","8 - Definitive Agreement",IF(Q68&lt;&gt;"","7 - Diligence",IF(P68&lt;&gt;"","6 - LOI Signed",IF(O68&lt;&gt;"","5 - Mgmt Meeting",IF(L68&lt;&gt;"","4 - IOI Received",IF(K68&lt;&gt;"","3 - CIM Sent",IF(J68&lt;&gt;"","2 - NDA Signed",IF(I68&lt;&gt;"","1 - Teaser Sent","0 - Not Contacted")))))))))</f>
        <v>3 - CIM Sent</v>
      </c>
      <c r="W68" s="39">
        <f>IF(COUNT(G68:T68)=0,"-",Dashboard!$I$6-MAX(G68:T68))</f>
        <v>130</v>
      </c>
      <c r="X68" s="40" t="s">
        <v>814</v>
      </c>
    </row>
    <row r="69" spans="1:24" ht="15" customHeight="1">
      <c r="A69" s="31" t="s">
        <v>352</v>
      </c>
      <c r="B69" s="32" t="s">
        <v>353</v>
      </c>
      <c r="C69" s="33" t="s">
        <v>115</v>
      </c>
      <c r="D69" s="33" t="s">
        <v>93</v>
      </c>
      <c r="E69" s="32" t="s">
        <v>354</v>
      </c>
      <c r="F69" s="32" t="s">
        <v>355</v>
      </c>
      <c r="G69" s="34">
        <v>46107</v>
      </c>
      <c r="H69" s="34">
        <v>46111</v>
      </c>
      <c r="I69" s="34">
        <v>46107</v>
      </c>
      <c r="J69" s="34">
        <v>46116</v>
      </c>
      <c r="K69" s="34">
        <v>46116</v>
      </c>
      <c r="L69" s="37"/>
      <c r="M69" s="33"/>
      <c r="N69" s="33"/>
      <c r="O69" s="37"/>
      <c r="P69" s="37"/>
      <c r="Q69" s="37"/>
      <c r="R69" s="33"/>
      <c r="S69" s="37"/>
      <c r="T69" s="37"/>
      <c r="U69" s="38" t="s">
        <v>190</v>
      </c>
      <c r="V69" s="39" t="str">
        <f>IF(T69&lt;&gt;"","9 - Closed",IF(S69&lt;&gt;"","8 - Definitive Agreement",IF(Q69&lt;&gt;"","7 - Diligence",IF(P69&lt;&gt;"","6 - LOI Signed",IF(O69&lt;&gt;"","5 - Mgmt Meeting",IF(L69&lt;&gt;"","4 - IOI Received",IF(K69&lt;&gt;"","3 - CIM Sent",IF(J69&lt;&gt;"","2 - NDA Signed",IF(I69&lt;&gt;"","1 - Teaser Sent","0 - Not Contacted")))))))))</f>
        <v>3 - CIM Sent</v>
      </c>
      <c r="W69" s="39">
        <f>IF(COUNT(G69:T69)=0,"-",Dashboard!$I$6-MAX(G69:T69))</f>
        <v>128</v>
      </c>
      <c r="X69" s="40" t="s">
        <v>814</v>
      </c>
    </row>
    <row r="70" spans="1:24" ht="15" customHeight="1">
      <c r="A70" s="31" t="s">
        <v>356</v>
      </c>
      <c r="B70" s="32" t="s">
        <v>357</v>
      </c>
      <c r="C70" s="33" t="s">
        <v>79</v>
      </c>
      <c r="D70" s="33" t="s">
        <v>80</v>
      </c>
      <c r="E70" s="32" t="s">
        <v>358</v>
      </c>
      <c r="F70" s="32" t="s">
        <v>359</v>
      </c>
      <c r="G70" s="34">
        <v>46086</v>
      </c>
      <c r="H70" s="34">
        <v>46089</v>
      </c>
      <c r="I70" s="34">
        <v>46086</v>
      </c>
      <c r="J70" s="34">
        <v>46099</v>
      </c>
      <c r="K70" s="34">
        <v>46101</v>
      </c>
      <c r="L70" s="37"/>
      <c r="M70" s="33"/>
      <c r="N70" s="33"/>
      <c r="O70" s="37"/>
      <c r="P70" s="37"/>
      <c r="Q70" s="37"/>
      <c r="R70" s="33"/>
      <c r="S70" s="37"/>
      <c r="T70" s="37"/>
      <c r="U70" s="38" t="s">
        <v>190</v>
      </c>
      <c r="V70" s="39" t="str">
        <f>IF(T70&lt;&gt;"","9 - Closed",IF(S70&lt;&gt;"","8 - Definitive Agreement",IF(Q70&lt;&gt;"","7 - Diligence",IF(P70&lt;&gt;"","6 - LOI Signed",IF(O70&lt;&gt;"","5 - Mgmt Meeting",IF(L70&lt;&gt;"","4 - IOI Received",IF(K70&lt;&gt;"","3 - CIM Sent",IF(J70&lt;&gt;"","2 - NDA Signed",IF(I70&lt;&gt;"","1 - Teaser Sent","0 - Not Contacted")))))))))</f>
        <v>3 - CIM Sent</v>
      </c>
      <c r="W70" s="39">
        <f>IF(COUNT(G70:T70)=0,"-",Dashboard!$I$6-MAX(G70:T70))</f>
        <v>143</v>
      </c>
      <c r="X70" s="40" t="s">
        <v>814</v>
      </c>
    </row>
    <row r="71" spans="1:24" ht="15" customHeight="1">
      <c r="A71" s="31" t="s">
        <v>360</v>
      </c>
      <c r="B71" s="32" t="s">
        <v>361</v>
      </c>
      <c r="C71" s="33" t="s">
        <v>115</v>
      </c>
      <c r="D71" s="33" t="s">
        <v>80</v>
      </c>
      <c r="E71" s="32" t="s">
        <v>362</v>
      </c>
      <c r="F71" s="32" t="s">
        <v>363</v>
      </c>
      <c r="G71" s="34">
        <v>46094</v>
      </c>
      <c r="H71" s="34">
        <v>46097</v>
      </c>
      <c r="I71" s="34">
        <v>46094</v>
      </c>
      <c r="J71" s="34">
        <v>46100</v>
      </c>
      <c r="K71" s="34">
        <v>46102</v>
      </c>
      <c r="L71" s="37"/>
      <c r="M71" s="33"/>
      <c r="N71" s="33"/>
      <c r="O71" s="37"/>
      <c r="P71" s="37"/>
      <c r="Q71" s="37"/>
      <c r="R71" s="33"/>
      <c r="S71" s="37"/>
      <c r="T71" s="37"/>
      <c r="U71" s="38" t="s">
        <v>190</v>
      </c>
      <c r="V71" s="39" t="str">
        <f>IF(T71&lt;&gt;"","9 - Closed",IF(S71&lt;&gt;"","8 - Definitive Agreement",IF(Q71&lt;&gt;"","7 - Diligence",IF(P71&lt;&gt;"","6 - LOI Signed",IF(O71&lt;&gt;"","5 - Mgmt Meeting",IF(L71&lt;&gt;"","4 - IOI Received",IF(K71&lt;&gt;"","3 - CIM Sent",IF(J71&lt;&gt;"","2 - NDA Signed",IF(I71&lt;&gt;"","1 - Teaser Sent","0 - Not Contacted")))))))))</f>
        <v>3 - CIM Sent</v>
      </c>
      <c r="W71" s="39">
        <f>IF(COUNT(G71:T71)=0,"-",Dashboard!$I$6-MAX(G71:T71))</f>
        <v>142</v>
      </c>
      <c r="X71" s="40" t="s">
        <v>814</v>
      </c>
    </row>
    <row r="72" spans="1:24" ht="15" customHeight="1">
      <c r="A72" s="31" t="s">
        <v>364</v>
      </c>
      <c r="B72" s="32" t="s">
        <v>365</v>
      </c>
      <c r="C72" s="33" t="s">
        <v>79</v>
      </c>
      <c r="D72" s="33" t="s">
        <v>106</v>
      </c>
      <c r="E72" s="32" t="s">
        <v>366</v>
      </c>
      <c r="F72" s="32" t="s">
        <v>367</v>
      </c>
      <c r="G72" s="34">
        <v>46100</v>
      </c>
      <c r="H72" s="34">
        <v>46103</v>
      </c>
      <c r="I72" s="34">
        <v>46100</v>
      </c>
      <c r="J72" s="34">
        <v>46114</v>
      </c>
      <c r="K72" s="34">
        <v>46116</v>
      </c>
      <c r="L72" s="37"/>
      <c r="M72" s="33"/>
      <c r="N72" s="33"/>
      <c r="O72" s="37"/>
      <c r="P72" s="37"/>
      <c r="Q72" s="37"/>
      <c r="R72" s="33"/>
      <c r="S72" s="37"/>
      <c r="T72" s="37"/>
      <c r="U72" s="38" t="s">
        <v>190</v>
      </c>
      <c r="V72" s="39" t="str">
        <f>IF(T72&lt;&gt;"","9 - Closed",IF(S72&lt;&gt;"","8 - Definitive Agreement",IF(Q72&lt;&gt;"","7 - Diligence",IF(P72&lt;&gt;"","6 - LOI Signed",IF(O72&lt;&gt;"","5 - Mgmt Meeting",IF(L72&lt;&gt;"","4 - IOI Received",IF(K72&lt;&gt;"","3 - CIM Sent",IF(J72&lt;&gt;"","2 - NDA Signed",IF(I72&lt;&gt;"","1 - Teaser Sent","0 - Not Contacted")))))))))</f>
        <v>3 - CIM Sent</v>
      </c>
      <c r="W72" s="39">
        <f>IF(COUNT(G72:T72)=0,"-",Dashboard!$I$6-MAX(G72:T72))</f>
        <v>128</v>
      </c>
      <c r="X72" s="40" t="s">
        <v>814</v>
      </c>
    </row>
    <row r="73" spans="1:24" ht="15" customHeight="1">
      <c r="A73" s="31" t="s">
        <v>368</v>
      </c>
      <c r="B73" s="32" t="s">
        <v>369</v>
      </c>
      <c r="C73" s="33" t="s">
        <v>79</v>
      </c>
      <c r="D73" s="33" t="s">
        <v>106</v>
      </c>
      <c r="E73" s="32" t="s">
        <v>370</v>
      </c>
      <c r="F73" s="32" t="s">
        <v>371</v>
      </c>
      <c r="G73" s="34">
        <v>46084</v>
      </c>
      <c r="H73" s="34">
        <v>46086</v>
      </c>
      <c r="I73" s="34">
        <v>46084</v>
      </c>
      <c r="J73" s="34">
        <v>46094</v>
      </c>
      <c r="K73" s="34">
        <v>46096</v>
      </c>
      <c r="L73" s="37"/>
      <c r="M73" s="33"/>
      <c r="N73" s="33"/>
      <c r="O73" s="37"/>
      <c r="P73" s="37"/>
      <c r="Q73" s="37"/>
      <c r="R73" s="33"/>
      <c r="S73" s="37"/>
      <c r="T73" s="37"/>
      <c r="U73" s="38" t="s">
        <v>190</v>
      </c>
      <c r="V73" s="39" t="str">
        <f>IF(T73&lt;&gt;"","9 - Closed",IF(S73&lt;&gt;"","8 - Definitive Agreement",IF(Q73&lt;&gt;"","7 - Diligence",IF(P73&lt;&gt;"","6 - LOI Signed",IF(O73&lt;&gt;"","5 - Mgmt Meeting",IF(L73&lt;&gt;"","4 - IOI Received",IF(K73&lt;&gt;"","3 - CIM Sent",IF(J73&lt;&gt;"","2 - NDA Signed",IF(I73&lt;&gt;"","1 - Teaser Sent","0 - Not Contacted")))))))))</f>
        <v>3 - CIM Sent</v>
      </c>
      <c r="W73" s="39">
        <f>IF(COUNT(G73:T73)=0,"-",Dashboard!$I$6-MAX(G73:T73))</f>
        <v>148</v>
      </c>
      <c r="X73" s="40" t="s">
        <v>814</v>
      </c>
    </row>
    <row r="74" spans="1:24" ht="15" customHeight="1">
      <c r="A74" s="31" t="s">
        <v>372</v>
      </c>
      <c r="B74" s="32" t="s">
        <v>373</v>
      </c>
      <c r="C74" s="33" t="s">
        <v>99</v>
      </c>
      <c r="D74" s="33" t="s">
        <v>93</v>
      </c>
      <c r="E74" s="32" t="s">
        <v>374</v>
      </c>
      <c r="F74" s="32" t="s">
        <v>375</v>
      </c>
      <c r="G74" s="34">
        <v>46087</v>
      </c>
      <c r="H74" s="34">
        <v>46088</v>
      </c>
      <c r="I74" s="34">
        <v>46087</v>
      </c>
      <c r="J74" s="37"/>
      <c r="K74" s="37"/>
      <c r="L74" s="37"/>
      <c r="M74" s="33"/>
      <c r="N74" s="33"/>
      <c r="O74" s="37"/>
      <c r="P74" s="37"/>
      <c r="Q74" s="37"/>
      <c r="R74" s="33"/>
      <c r="S74" s="37"/>
      <c r="T74" s="37"/>
      <c r="U74" s="38" t="s">
        <v>190</v>
      </c>
      <c r="V74" s="39" t="str">
        <f>IF(T74&lt;&gt;"","9 - Closed",IF(S74&lt;&gt;"","8 - Definitive Agreement",IF(Q74&lt;&gt;"","7 - Diligence",IF(P74&lt;&gt;"","6 - LOI Signed",IF(O74&lt;&gt;"","5 - Mgmt Meeting",IF(L74&lt;&gt;"","4 - IOI Received",IF(K74&lt;&gt;"","3 - CIM Sent",IF(J74&lt;&gt;"","2 - NDA Signed",IF(I74&lt;&gt;"","1 - Teaser Sent","0 - Not Contacted")))))))))</f>
        <v>1 - Teaser Sent</v>
      </c>
      <c r="W74" s="39">
        <f>IF(COUNT(G74:T74)=0,"-",Dashboard!$I$6-MAX(G74:T74))</f>
        <v>156</v>
      </c>
      <c r="X74" s="40" t="s">
        <v>816</v>
      </c>
    </row>
    <row r="75" spans="1:24" ht="15" customHeight="1">
      <c r="A75" s="31" t="s">
        <v>376</v>
      </c>
      <c r="B75" s="32" t="s">
        <v>377</v>
      </c>
      <c r="C75" s="33" t="s">
        <v>79</v>
      </c>
      <c r="D75" s="33" t="s">
        <v>93</v>
      </c>
      <c r="E75" s="32" t="s">
        <v>378</v>
      </c>
      <c r="F75" s="32" t="s">
        <v>379</v>
      </c>
      <c r="G75" s="34">
        <v>46086</v>
      </c>
      <c r="H75" s="34">
        <v>46089</v>
      </c>
      <c r="I75" s="34">
        <v>46086</v>
      </c>
      <c r="J75" s="37"/>
      <c r="K75" s="37"/>
      <c r="L75" s="37"/>
      <c r="M75" s="33"/>
      <c r="N75" s="33"/>
      <c r="O75" s="37"/>
      <c r="P75" s="37"/>
      <c r="Q75" s="37"/>
      <c r="R75" s="33"/>
      <c r="S75" s="37"/>
      <c r="T75" s="37"/>
      <c r="U75" s="38" t="s">
        <v>190</v>
      </c>
      <c r="V75" s="39" t="str">
        <f>IF(T75&lt;&gt;"","9 - Closed",IF(S75&lt;&gt;"","8 - Definitive Agreement",IF(Q75&lt;&gt;"","7 - Diligence",IF(P75&lt;&gt;"","6 - LOI Signed",IF(O75&lt;&gt;"","5 - Mgmt Meeting",IF(L75&lt;&gt;"","4 - IOI Received",IF(K75&lt;&gt;"","3 - CIM Sent",IF(J75&lt;&gt;"","2 - NDA Signed",IF(I75&lt;&gt;"","1 - Teaser Sent","0 - Not Contacted")))))))))</f>
        <v>1 - Teaser Sent</v>
      </c>
      <c r="W75" s="39">
        <f>IF(COUNT(G75:T75)=0,"-",Dashboard!$I$6-MAX(G75:T75))</f>
        <v>155</v>
      </c>
      <c r="X75" s="40" t="s">
        <v>817</v>
      </c>
    </row>
    <row r="76" spans="1:24" ht="15" customHeight="1">
      <c r="A76" s="31" t="s">
        <v>380</v>
      </c>
      <c r="B76" s="32" t="s">
        <v>381</v>
      </c>
      <c r="C76" s="33" t="s">
        <v>115</v>
      </c>
      <c r="D76" s="33" t="s">
        <v>80</v>
      </c>
      <c r="E76" s="32" t="s">
        <v>382</v>
      </c>
      <c r="F76" s="32" t="s">
        <v>383</v>
      </c>
      <c r="G76" s="34">
        <v>46098</v>
      </c>
      <c r="H76" s="34">
        <v>46101</v>
      </c>
      <c r="I76" s="34">
        <v>46098</v>
      </c>
      <c r="J76" s="37"/>
      <c r="K76" s="37"/>
      <c r="L76" s="37"/>
      <c r="M76" s="33"/>
      <c r="N76" s="33"/>
      <c r="O76" s="37"/>
      <c r="P76" s="37"/>
      <c r="Q76" s="37"/>
      <c r="R76" s="33"/>
      <c r="S76" s="37"/>
      <c r="T76" s="37"/>
      <c r="U76" s="38" t="s">
        <v>190</v>
      </c>
      <c r="V76" s="39" t="str">
        <f>IF(T76&lt;&gt;"","9 - Closed",IF(S76&lt;&gt;"","8 - Definitive Agreement",IF(Q76&lt;&gt;"","7 - Diligence",IF(P76&lt;&gt;"","6 - LOI Signed",IF(O76&lt;&gt;"","5 - Mgmt Meeting",IF(L76&lt;&gt;"","4 - IOI Received",IF(K76&lt;&gt;"","3 - CIM Sent",IF(J76&lt;&gt;"","2 - NDA Signed",IF(I76&lt;&gt;"","1 - Teaser Sent","0 - Not Contacted")))))))))</f>
        <v>1 - Teaser Sent</v>
      </c>
      <c r="W76" s="39">
        <f>IF(COUNT(G76:T76)=0,"-",Dashboard!$I$6-MAX(G76:T76))</f>
        <v>143</v>
      </c>
      <c r="X76" s="40" t="s">
        <v>816</v>
      </c>
    </row>
    <row r="77" spans="1:24" ht="15" customHeight="1">
      <c r="A77" s="31" t="s">
        <v>384</v>
      </c>
      <c r="B77" s="32" t="s">
        <v>385</v>
      </c>
      <c r="C77" s="33" t="s">
        <v>115</v>
      </c>
      <c r="D77" s="33" t="s">
        <v>80</v>
      </c>
      <c r="E77" s="32" t="s">
        <v>386</v>
      </c>
      <c r="F77" s="32" t="s">
        <v>387</v>
      </c>
      <c r="G77" s="34">
        <v>46084</v>
      </c>
      <c r="H77" s="34">
        <v>46087</v>
      </c>
      <c r="I77" s="34">
        <v>46084</v>
      </c>
      <c r="J77" s="37"/>
      <c r="K77" s="37"/>
      <c r="L77" s="37"/>
      <c r="M77" s="33"/>
      <c r="N77" s="33"/>
      <c r="O77" s="37"/>
      <c r="P77" s="37"/>
      <c r="Q77" s="37"/>
      <c r="R77" s="33"/>
      <c r="S77" s="37"/>
      <c r="T77" s="37"/>
      <c r="U77" s="38" t="s">
        <v>190</v>
      </c>
      <c r="V77" s="39" t="str">
        <f>IF(T77&lt;&gt;"","9 - Closed",IF(S77&lt;&gt;"","8 - Definitive Agreement",IF(Q77&lt;&gt;"","7 - Diligence",IF(P77&lt;&gt;"","6 - LOI Signed",IF(O77&lt;&gt;"","5 - Mgmt Meeting",IF(L77&lt;&gt;"","4 - IOI Received",IF(K77&lt;&gt;"","3 - CIM Sent",IF(J77&lt;&gt;"","2 - NDA Signed",IF(I77&lt;&gt;"","1 - Teaser Sent","0 - Not Contacted")))))))))</f>
        <v>1 - Teaser Sent</v>
      </c>
      <c r="W77" s="39">
        <f>IF(COUNT(G77:T77)=0,"-",Dashboard!$I$6-MAX(G77:T77))</f>
        <v>157</v>
      </c>
      <c r="X77" s="40" t="s">
        <v>816</v>
      </c>
    </row>
    <row r="78" spans="1:24" ht="15" customHeight="1">
      <c r="A78" s="31" t="s">
        <v>388</v>
      </c>
      <c r="B78" s="32" t="s">
        <v>389</v>
      </c>
      <c r="C78" s="33" t="s">
        <v>115</v>
      </c>
      <c r="D78" s="33" t="s">
        <v>80</v>
      </c>
      <c r="E78" s="32" t="s">
        <v>390</v>
      </c>
      <c r="F78" s="32" t="s">
        <v>391</v>
      </c>
      <c r="G78" s="34">
        <v>46085</v>
      </c>
      <c r="H78" s="34">
        <v>46088</v>
      </c>
      <c r="I78" s="34">
        <v>46085</v>
      </c>
      <c r="J78" s="37"/>
      <c r="K78" s="37"/>
      <c r="L78" s="37"/>
      <c r="M78" s="33"/>
      <c r="N78" s="33"/>
      <c r="O78" s="37"/>
      <c r="P78" s="37"/>
      <c r="Q78" s="37"/>
      <c r="R78" s="33"/>
      <c r="S78" s="37"/>
      <c r="T78" s="37"/>
      <c r="U78" s="38" t="s">
        <v>190</v>
      </c>
      <c r="V78" s="39" t="str">
        <f>IF(T78&lt;&gt;"","9 - Closed",IF(S78&lt;&gt;"","8 - Definitive Agreement",IF(Q78&lt;&gt;"","7 - Diligence",IF(P78&lt;&gt;"","6 - LOI Signed",IF(O78&lt;&gt;"","5 - Mgmt Meeting",IF(L78&lt;&gt;"","4 - IOI Received",IF(K78&lt;&gt;"","3 - CIM Sent",IF(J78&lt;&gt;"","2 - NDA Signed",IF(I78&lt;&gt;"","1 - Teaser Sent","0 - Not Contacted")))))))))</f>
        <v>1 - Teaser Sent</v>
      </c>
      <c r="W78" s="39">
        <f>IF(COUNT(G78:T78)=0,"-",Dashboard!$I$6-MAX(G78:T78))</f>
        <v>156</v>
      </c>
      <c r="X78" s="40" t="s">
        <v>817</v>
      </c>
    </row>
    <row r="79" spans="1:24" ht="15" customHeight="1">
      <c r="A79" s="31" t="s">
        <v>392</v>
      </c>
      <c r="B79" s="32" t="s">
        <v>393</v>
      </c>
      <c r="C79" s="33" t="s">
        <v>115</v>
      </c>
      <c r="D79" s="33" t="s">
        <v>106</v>
      </c>
      <c r="E79" s="32" t="s">
        <v>132</v>
      </c>
      <c r="F79" s="32" t="s">
        <v>394</v>
      </c>
      <c r="G79" s="34">
        <v>46103</v>
      </c>
      <c r="H79" s="34">
        <v>46105</v>
      </c>
      <c r="I79" s="34">
        <v>46103</v>
      </c>
      <c r="J79" s="37"/>
      <c r="K79" s="37"/>
      <c r="L79" s="37"/>
      <c r="M79" s="33"/>
      <c r="N79" s="33"/>
      <c r="O79" s="37"/>
      <c r="P79" s="37"/>
      <c r="Q79" s="37"/>
      <c r="R79" s="33"/>
      <c r="S79" s="37"/>
      <c r="T79" s="37"/>
      <c r="U79" s="38" t="s">
        <v>190</v>
      </c>
      <c r="V79" s="39" t="str">
        <f>IF(T79&lt;&gt;"","9 - Closed",IF(S79&lt;&gt;"","8 - Definitive Agreement",IF(Q79&lt;&gt;"","7 - Diligence",IF(P79&lt;&gt;"","6 - LOI Signed",IF(O79&lt;&gt;"","5 - Mgmt Meeting",IF(L79&lt;&gt;"","4 - IOI Received",IF(K79&lt;&gt;"","3 - CIM Sent",IF(J79&lt;&gt;"","2 - NDA Signed",IF(I79&lt;&gt;"","1 - Teaser Sent","0 - Not Contacted")))))))))</f>
        <v>1 - Teaser Sent</v>
      </c>
      <c r="W79" s="39">
        <f>IF(COUNT(G79:T79)=0,"-",Dashboard!$I$6-MAX(G79:T79))</f>
        <v>139</v>
      </c>
      <c r="X79" s="40" t="s">
        <v>816</v>
      </c>
    </row>
    <row r="80" spans="1:24" ht="15" customHeight="1">
      <c r="A80" s="31" t="s">
        <v>395</v>
      </c>
      <c r="B80" s="32" t="s">
        <v>396</v>
      </c>
      <c r="C80" s="33" t="s">
        <v>115</v>
      </c>
      <c r="D80" s="33" t="s">
        <v>106</v>
      </c>
      <c r="E80" s="32" t="s">
        <v>397</v>
      </c>
      <c r="F80" s="32" t="s">
        <v>398</v>
      </c>
      <c r="G80" s="34">
        <v>46108</v>
      </c>
      <c r="H80" s="34">
        <v>46112</v>
      </c>
      <c r="I80" s="34">
        <v>46108</v>
      </c>
      <c r="J80" s="37"/>
      <c r="K80" s="37"/>
      <c r="L80" s="37"/>
      <c r="M80" s="33"/>
      <c r="N80" s="33"/>
      <c r="O80" s="37"/>
      <c r="P80" s="37"/>
      <c r="Q80" s="37"/>
      <c r="R80" s="33"/>
      <c r="S80" s="37"/>
      <c r="T80" s="37"/>
      <c r="U80" s="38" t="s">
        <v>190</v>
      </c>
      <c r="V80" s="39" t="str">
        <f>IF(T80&lt;&gt;"","9 - Closed",IF(S80&lt;&gt;"","8 - Definitive Agreement",IF(Q80&lt;&gt;"","7 - Diligence",IF(P80&lt;&gt;"","6 - LOI Signed",IF(O80&lt;&gt;"","5 - Mgmt Meeting",IF(L80&lt;&gt;"","4 - IOI Received",IF(K80&lt;&gt;"","3 - CIM Sent",IF(J80&lt;&gt;"","2 - NDA Signed",IF(I80&lt;&gt;"","1 - Teaser Sent","0 - Not Contacted")))))))))</f>
        <v>1 - Teaser Sent</v>
      </c>
      <c r="W80" s="39">
        <f>IF(COUNT(G80:T80)=0,"-",Dashboard!$I$6-MAX(G80:T80))</f>
        <v>132</v>
      </c>
      <c r="X80" s="40" t="s">
        <v>817</v>
      </c>
    </row>
    <row r="81" spans="1:24" ht="15" customHeight="1">
      <c r="A81" s="31" t="s">
        <v>399</v>
      </c>
      <c r="B81" s="32" t="s">
        <v>400</v>
      </c>
      <c r="C81" s="33" t="s">
        <v>79</v>
      </c>
      <c r="D81" s="33" t="s">
        <v>106</v>
      </c>
      <c r="E81" s="32" t="s">
        <v>401</v>
      </c>
      <c r="F81" s="32" t="s">
        <v>402</v>
      </c>
      <c r="G81" s="34">
        <v>46090</v>
      </c>
      <c r="H81" s="34">
        <v>46091</v>
      </c>
      <c r="I81" s="34">
        <v>46090</v>
      </c>
      <c r="J81" s="37"/>
      <c r="K81" s="37"/>
      <c r="L81" s="37"/>
      <c r="M81" s="33"/>
      <c r="N81" s="33"/>
      <c r="O81" s="37"/>
      <c r="P81" s="37"/>
      <c r="Q81" s="37"/>
      <c r="R81" s="33"/>
      <c r="S81" s="37"/>
      <c r="T81" s="37"/>
      <c r="U81" s="38" t="s">
        <v>190</v>
      </c>
      <c r="V81" s="39" t="str">
        <f>IF(T81&lt;&gt;"","9 - Closed",IF(S81&lt;&gt;"","8 - Definitive Agreement",IF(Q81&lt;&gt;"","7 - Diligence",IF(P81&lt;&gt;"","6 - LOI Signed",IF(O81&lt;&gt;"","5 - Mgmt Meeting",IF(L81&lt;&gt;"","4 - IOI Received",IF(K81&lt;&gt;"","3 - CIM Sent",IF(J81&lt;&gt;"","2 - NDA Signed",IF(I81&lt;&gt;"","1 - Teaser Sent","0 - Not Contacted")))))))))</f>
        <v>1 - Teaser Sent</v>
      </c>
      <c r="W81" s="39">
        <f>IF(COUNT(G81:T81)=0,"-",Dashboard!$I$6-MAX(G81:T81))</f>
        <v>153</v>
      </c>
      <c r="X81" s="40" t="s">
        <v>817</v>
      </c>
    </row>
    <row r="82" spans="1:24" ht="15" customHeight="1">
      <c r="A82" s="31" t="s">
        <v>403</v>
      </c>
      <c r="B82" s="32" t="s">
        <v>404</v>
      </c>
      <c r="C82" s="33" t="s">
        <v>115</v>
      </c>
      <c r="D82" s="33" t="s">
        <v>93</v>
      </c>
      <c r="E82" s="32" t="s">
        <v>405</v>
      </c>
      <c r="F82" s="32" t="s">
        <v>406</v>
      </c>
      <c r="G82" s="34">
        <v>46102</v>
      </c>
      <c r="H82" s="37"/>
      <c r="I82" s="34">
        <v>46102</v>
      </c>
      <c r="J82" s="37"/>
      <c r="K82" s="37"/>
      <c r="L82" s="37"/>
      <c r="M82" s="33"/>
      <c r="N82" s="33"/>
      <c r="O82" s="37"/>
      <c r="P82" s="37"/>
      <c r="Q82" s="37"/>
      <c r="R82" s="33"/>
      <c r="S82" s="37"/>
      <c r="T82" s="37"/>
      <c r="U82" s="38" t="s">
        <v>89</v>
      </c>
      <c r="V82" s="39" t="str">
        <f>IF(T82&lt;&gt;"","9 - Closed",IF(S82&lt;&gt;"","8 - Definitive Agreement",IF(Q82&lt;&gt;"","7 - Diligence",IF(P82&lt;&gt;"","6 - LOI Signed",IF(O82&lt;&gt;"","5 - Mgmt Meeting",IF(L82&lt;&gt;"","4 - IOI Received",IF(K82&lt;&gt;"","3 - CIM Sent",IF(J82&lt;&gt;"","2 - NDA Signed",IF(I82&lt;&gt;"","1 - Teaser Sent","0 - Not Contacted")))))))))</f>
        <v>1 - Teaser Sent</v>
      </c>
      <c r="W82" s="39">
        <f>IF(COUNT(G82:T82)=0,"-",Dashboard!$I$6-MAX(G82:T82))</f>
        <v>142</v>
      </c>
      <c r="X82" s="40" t="s">
        <v>818</v>
      </c>
    </row>
    <row r="83" spans="1:24" ht="15" customHeight="1">
      <c r="A83" s="31" t="s">
        <v>407</v>
      </c>
      <c r="B83" s="32" t="s">
        <v>408</v>
      </c>
      <c r="C83" s="33" t="s">
        <v>99</v>
      </c>
      <c r="D83" s="33" t="s">
        <v>80</v>
      </c>
      <c r="E83" s="32" t="s">
        <v>242</v>
      </c>
      <c r="F83" s="32" t="s">
        <v>409</v>
      </c>
      <c r="G83" s="34">
        <v>46107</v>
      </c>
      <c r="H83" s="37"/>
      <c r="I83" s="34">
        <v>46107</v>
      </c>
      <c r="J83" s="37"/>
      <c r="K83" s="37"/>
      <c r="L83" s="37"/>
      <c r="M83" s="33"/>
      <c r="N83" s="33"/>
      <c r="O83" s="37"/>
      <c r="P83" s="37"/>
      <c r="Q83" s="37"/>
      <c r="R83" s="33"/>
      <c r="S83" s="37"/>
      <c r="T83" s="37"/>
      <c r="U83" s="38" t="s">
        <v>190</v>
      </c>
      <c r="V83" s="39" t="str">
        <f>IF(T83&lt;&gt;"","9 - Closed",IF(S83&lt;&gt;"","8 - Definitive Agreement",IF(Q83&lt;&gt;"","7 - Diligence",IF(P83&lt;&gt;"","6 - LOI Signed",IF(O83&lt;&gt;"","5 - Mgmt Meeting",IF(L83&lt;&gt;"","4 - IOI Received",IF(K83&lt;&gt;"","3 - CIM Sent",IF(J83&lt;&gt;"","2 - NDA Signed",IF(I83&lt;&gt;"","1 - Teaser Sent","0 - Not Contacted")))))))))</f>
        <v>1 - Teaser Sent</v>
      </c>
      <c r="W83" s="39">
        <f>IF(COUNT(G83:T83)=0,"-",Dashboard!$I$6-MAX(G83:T83))</f>
        <v>137</v>
      </c>
      <c r="X83" s="40" t="s">
        <v>819</v>
      </c>
    </row>
    <row r="84" spans="1:24" ht="15" customHeight="1">
      <c r="A84" s="31" t="s">
        <v>410</v>
      </c>
      <c r="B84" s="32" t="s">
        <v>411</v>
      </c>
      <c r="C84" s="33" t="s">
        <v>115</v>
      </c>
      <c r="D84" s="33" t="s">
        <v>80</v>
      </c>
      <c r="E84" s="32" t="s">
        <v>412</v>
      </c>
      <c r="F84" s="32" t="s">
        <v>413</v>
      </c>
      <c r="G84" s="34">
        <v>46097</v>
      </c>
      <c r="H84" s="37"/>
      <c r="I84" s="34">
        <v>46097</v>
      </c>
      <c r="J84" s="37"/>
      <c r="K84" s="37"/>
      <c r="L84" s="37"/>
      <c r="M84" s="33"/>
      <c r="N84" s="33"/>
      <c r="O84" s="37"/>
      <c r="P84" s="37"/>
      <c r="Q84" s="37"/>
      <c r="R84" s="33"/>
      <c r="S84" s="37"/>
      <c r="T84" s="37"/>
      <c r="U84" s="38" t="s">
        <v>190</v>
      </c>
      <c r="V84" s="39" t="str">
        <f>IF(T84&lt;&gt;"","9 - Closed",IF(S84&lt;&gt;"","8 - Definitive Agreement",IF(Q84&lt;&gt;"","7 - Diligence",IF(P84&lt;&gt;"","6 - LOI Signed",IF(O84&lt;&gt;"","5 - Mgmt Meeting",IF(L84&lt;&gt;"","4 - IOI Received",IF(K84&lt;&gt;"","3 - CIM Sent",IF(J84&lt;&gt;"","2 - NDA Signed",IF(I84&lt;&gt;"","1 - Teaser Sent","0 - Not Contacted")))))))))</f>
        <v>1 - Teaser Sent</v>
      </c>
      <c r="W84" s="39">
        <f>IF(COUNT(G84:T84)=0,"-",Dashboard!$I$6-MAX(G84:T84))</f>
        <v>147</v>
      </c>
      <c r="X84" s="40" t="s">
        <v>819</v>
      </c>
    </row>
    <row r="85" spans="1:24" ht="15" customHeight="1">
      <c r="A85" s="31" t="s">
        <v>414</v>
      </c>
      <c r="B85" s="32" t="s">
        <v>415</v>
      </c>
      <c r="C85" s="33" t="s">
        <v>115</v>
      </c>
      <c r="D85" s="33" t="s">
        <v>80</v>
      </c>
      <c r="E85" s="32" t="s">
        <v>416</v>
      </c>
      <c r="F85" s="32" t="s">
        <v>417</v>
      </c>
      <c r="G85" s="34">
        <v>46096</v>
      </c>
      <c r="H85" s="37"/>
      <c r="I85" s="34">
        <v>46096</v>
      </c>
      <c r="J85" s="37"/>
      <c r="K85" s="37"/>
      <c r="L85" s="37"/>
      <c r="M85" s="33"/>
      <c r="N85" s="33"/>
      <c r="O85" s="37"/>
      <c r="P85" s="37"/>
      <c r="Q85" s="37"/>
      <c r="R85" s="33"/>
      <c r="S85" s="37"/>
      <c r="T85" s="37"/>
      <c r="U85" s="38" t="s">
        <v>190</v>
      </c>
      <c r="V85" s="39" t="str">
        <f>IF(T85&lt;&gt;"","9 - Closed",IF(S85&lt;&gt;"","8 - Definitive Agreement",IF(Q85&lt;&gt;"","7 - Diligence",IF(P85&lt;&gt;"","6 - LOI Signed",IF(O85&lt;&gt;"","5 - Mgmt Meeting",IF(L85&lt;&gt;"","4 - IOI Received",IF(K85&lt;&gt;"","3 - CIM Sent",IF(J85&lt;&gt;"","2 - NDA Signed",IF(I85&lt;&gt;"","1 - Teaser Sent","0 - Not Contacted")))))))))</f>
        <v>1 - Teaser Sent</v>
      </c>
      <c r="W85" s="39">
        <f>IF(COUNT(G85:T85)=0,"-",Dashboard!$I$6-MAX(G85:T85))</f>
        <v>148</v>
      </c>
      <c r="X85" s="40" t="s">
        <v>819</v>
      </c>
    </row>
    <row r="86" spans="1:24" ht="15" customHeight="1">
      <c r="A86" s="31" t="s">
        <v>418</v>
      </c>
      <c r="B86" s="32" t="s">
        <v>419</v>
      </c>
      <c r="C86" s="33" t="s">
        <v>79</v>
      </c>
      <c r="D86" s="33" t="s">
        <v>80</v>
      </c>
      <c r="E86" s="32" t="s">
        <v>420</v>
      </c>
      <c r="F86" s="32" t="s">
        <v>421</v>
      </c>
      <c r="G86" s="34">
        <v>46102</v>
      </c>
      <c r="H86" s="37"/>
      <c r="I86" s="34">
        <v>46102</v>
      </c>
      <c r="J86" s="37"/>
      <c r="K86" s="37"/>
      <c r="L86" s="37"/>
      <c r="M86" s="33"/>
      <c r="N86" s="33"/>
      <c r="O86" s="37"/>
      <c r="P86" s="37"/>
      <c r="Q86" s="37"/>
      <c r="R86" s="33"/>
      <c r="S86" s="37"/>
      <c r="T86" s="37"/>
      <c r="U86" s="38" t="s">
        <v>190</v>
      </c>
      <c r="V86" s="39" t="str">
        <f>IF(T86&lt;&gt;"","9 - Closed",IF(S86&lt;&gt;"","8 - Definitive Agreement",IF(Q86&lt;&gt;"","7 - Diligence",IF(P86&lt;&gt;"","6 - LOI Signed",IF(O86&lt;&gt;"","5 - Mgmt Meeting",IF(L86&lt;&gt;"","4 - IOI Received",IF(K86&lt;&gt;"","3 - CIM Sent",IF(J86&lt;&gt;"","2 - NDA Signed",IF(I86&lt;&gt;"","1 - Teaser Sent","0 - Not Contacted")))))))))</f>
        <v>1 - Teaser Sent</v>
      </c>
      <c r="W86" s="39">
        <f>IF(COUNT(G86:T86)=0,"-",Dashboard!$I$6-MAX(G86:T86))</f>
        <v>142</v>
      </c>
      <c r="X86" s="40" t="s">
        <v>819</v>
      </c>
    </row>
    <row r="87" spans="1:24" ht="15" customHeight="1">
      <c r="A87" s="31" t="s">
        <v>422</v>
      </c>
      <c r="B87" s="32" t="s">
        <v>423</v>
      </c>
      <c r="C87" s="33" t="s">
        <v>79</v>
      </c>
      <c r="D87" s="33" t="s">
        <v>93</v>
      </c>
      <c r="E87" s="32" t="s">
        <v>424</v>
      </c>
      <c r="F87" s="32" t="s">
        <v>425</v>
      </c>
      <c r="G87" s="34">
        <v>46089</v>
      </c>
      <c r="H87" s="37"/>
      <c r="I87" s="34">
        <v>46089</v>
      </c>
      <c r="J87" s="37"/>
      <c r="K87" s="37"/>
      <c r="L87" s="37"/>
      <c r="M87" s="33"/>
      <c r="N87" s="33"/>
      <c r="O87" s="37"/>
      <c r="P87" s="37"/>
      <c r="Q87" s="37"/>
      <c r="R87" s="33"/>
      <c r="S87" s="37"/>
      <c r="T87" s="37"/>
      <c r="U87" s="38" t="s">
        <v>190</v>
      </c>
      <c r="V87" s="39" t="str">
        <f>IF(T87&lt;&gt;"","9 - Closed",IF(S87&lt;&gt;"","8 - Definitive Agreement",IF(Q87&lt;&gt;"","7 - Diligence",IF(P87&lt;&gt;"","6 - LOI Signed",IF(O87&lt;&gt;"","5 - Mgmt Meeting",IF(L87&lt;&gt;"","4 - IOI Received",IF(K87&lt;&gt;"","3 - CIM Sent",IF(J87&lt;&gt;"","2 - NDA Signed",IF(I87&lt;&gt;"","1 - Teaser Sent","0 - Not Contacted")))))))))</f>
        <v>1 - Teaser Sent</v>
      </c>
      <c r="W87" s="39">
        <f>IF(COUNT(G87:T87)=0,"-",Dashboard!$I$6-MAX(G87:T87))</f>
        <v>155</v>
      </c>
      <c r="X87" s="40" t="s">
        <v>819</v>
      </c>
    </row>
    <row r="88" spans="1:24" ht="15" customHeight="1">
      <c r="A88" s="31" t="s">
        <v>426</v>
      </c>
      <c r="B88" s="32" t="s">
        <v>427</v>
      </c>
      <c r="C88" s="33" t="s">
        <v>79</v>
      </c>
      <c r="D88" s="33" t="s">
        <v>80</v>
      </c>
      <c r="E88" s="32" t="s">
        <v>428</v>
      </c>
      <c r="F88" s="32" t="s">
        <v>429</v>
      </c>
      <c r="G88" s="34">
        <v>46085</v>
      </c>
      <c r="H88" s="37"/>
      <c r="I88" s="34">
        <v>46085</v>
      </c>
      <c r="J88" s="37"/>
      <c r="K88" s="37"/>
      <c r="L88" s="37"/>
      <c r="M88" s="33"/>
      <c r="N88" s="33"/>
      <c r="O88" s="37"/>
      <c r="P88" s="37"/>
      <c r="Q88" s="37"/>
      <c r="R88" s="33"/>
      <c r="S88" s="37"/>
      <c r="T88" s="37"/>
      <c r="U88" s="38" t="s">
        <v>89</v>
      </c>
      <c r="V88" s="39" t="str">
        <f>IF(T88&lt;&gt;"","9 - Closed",IF(S88&lt;&gt;"","8 - Definitive Agreement",IF(Q88&lt;&gt;"","7 - Diligence",IF(P88&lt;&gt;"","6 - LOI Signed",IF(O88&lt;&gt;"","5 - Mgmt Meeting",IF(L88&lt;&gt;"","4 - IOI Received",IF(K88&lt;&gt;"","3 - CIM Sent",IF(J88&lt;&gt;"","2 - NDA Signed",IF(I88&lt;&gt;"","1 - Teaser Sent","0 - Not Contacted")))))))))</f>
        <v>1 - Teaser Sent</v>
      </c>
      <c r="W88" s="39">
        <f>IF(COUNT(G88:T88)=0,"-",Dashboard!$I$6-MAX(G88:T88))</f>
        <v>159</v>
      </c>
      <c r="X88" s="40" t="s">
        <v>818</v>
      </c>
    </row>
    <row r="89" spans="1:24" ht="15" customHeight="1">
      <c r="A89" s="31" t="s">
        <v>430</v>
      </c>
      <c r="B89" s="32" t="s">
        <v>431</v>
      </c>
      <c r="C89" s="33" t="s">
        <v>79</v>
      </c>
      <c r="D89" s="33" t="s">
        <v>106</v>
      </c>
      <c r="E89" s="32" t="s">
        <v>432</v>
      </c>
      <c r="F89" s="32" t="s">
        <v>433</v>
      </c>
      <c r="G89" s="34">
        <v>46085</v>
      </c>
      <c r="H89" s="37"/>
      <c r="I89" s="34">
        <v>46085</v>
      </c>
      <c r="J89" s="37"/>
      <c r="K89" s="37"/>
      <c r="L89" s="37"/>
      <c r="M89" s="33"/>
      <c r="N89" s="33"/>
      <c r="O89" s="37"/>
      <c r="P89" s="37"/>
      <c r="Q89" s="37"/>
      <c r="R89" s="33"/>
      <c r="S89" s="37"/>
      <c r="T89" s="37"/>
      <c r="U89" s="38" t="s">
        <v>89</v>
      </c>
      <c r="V89" s="39" t="str">
        <f>IF(T89&lt;&gt;"","9 - Closed",IF(S89&lt;&gt;"","8 - Definitive Agreement",IF(Q89&lt;&gt;"","7 - Diligence",IF(P89&lt;&gt;"","6 - LOI Signed",IF(O89&lt;&gt;"","5 - Mgmt Meeting",IF(L89&lt;&gt;"","4 - IOI Received",IF(K89&lt;&gt;"","3 - CIM Sent",IF(J89&lt;&gt;"","2 - NDA Signed",IF(I89&lt;&gt;"","1 - Teaser Sent","0 - Not Contacted")))))))))</f>
        <v>1 - Teaser Sent</v>
      </c>
      <c r="W89" s="39">
        <f>IF(COUNT(G89:T89)=0,"-",Dashboard!$I$6-MAX(G89:T89))</f>
        <v>159</v>
      </c>
      <c r="X89" s="40" t="s">
        <v>818</v>
      </c>
    </row>
    <row r="90" spans="1:24" ht="15" customHeight="1">
      <c r="A90" s="31" t="s">
        <v>434</v>
      </c>
      <c r="B90" s="32" t="s">
        <v>435</v>
      </c>
      <c r="C90" s="33" t="s">
        <v>115</v>
      </c>
      <c r="D90" s="33" t="s">
        <v>80</v>
      </c>
      <c r="E90" s="32" t="s">
        <v>436</v>
      </c>
      <c r="F90" s="32" t="s">
        <v>437</v>
      </c>
      <c r="G90" s="34">
        <v>46105</v>
      </c>
      <c r="H90" s="37"/>
      <c r="I90" s="34">
        <v>46105</v>
      </c>
      <c r="J90" s="37"/>
      <c r="K90" s="37"/>
      <c r="L90" s="37"/>
      <c r="M90" s="33"/>
      <c r="N90" s="33"/>
      <c r="O90" s="37"/>
      <c r="P90" s="37"/>
      <c r="Q90" s="37"/>
      <c r="R90" s="33"/>
      <c r="S90" s="37"/>
      <c r="T90" s="37"/>
      <c r="U90" s="38" t="s">
        <v>89</v>
      </c>
      <c r="V90" s="39" t="str">
        <f>IF(T90&lt;&gt;"","9 - Closed",IF(S90&lt;&gt;"","8 - Definitive Agreement",IF(Q90&lt;&gt;"","7 - Diligence",IF(P90&lt;&gt;"","6 - LOI Signed",IF(O90&lt;&gt;"","5 - Mgmt Meeting",IF(L90&lt;&gt;"","4 - IOI Received",IF(K90&lt;&gt;"","3 - CIM Sent",IF(J90&lt;&gt;"","2 - NDA Signed",IF(I90&lt;&gt;"","1 - Teaser Sent","0 - Not Contacted")))))))))</f>
        <v>1 - Teaser Sent</v>
      </c>
      <c r="W90" s="39">
        <f>IF(COUNT(G90:T90)=0,"-",Dashboard!$I$6-MAX(G90:T90))</f>
        <v>139</v>
      </c>
      <c r="X90" s="40" t="s">
        <v>818</v>
      </c>
    </row>
    <row r="91" spans="1:24" ht="15" customHeight="1">
      <c r="A91" s="31" t="s">
        <v>438</v>
      </c>
      <c r="B91" s="32" t="s">
        <v>439</v>
      </c>
      <c r="C91" s="33" t="s">
        <v>79</v>
      </c>
      <c r="D91" s="33" t="s">
        <v>80</v>
      </c>
      <c r="E91" s="32" t="s">
        <v>440</v>
      </c>
      <c r="F91" s="32" t="s">
        <v>441</v>
      </c>
      <c r="G91" s="34">
        <v>46090</v>
      </c>
      <c r="H91" s="37"/>
      <c r="I91" s="34">
        <v>46090</v>
      </c>
      <c r="J91" s="37"/>
      <c r="K91" s="37"/>
      <c r="L91" s="37"/>
      <c r="M91" s="33"/>
      <c r="N91" s="33"/>
      <c r="O91" s="37"/>
      <c r="P91" s="37"/>
      <c r="Q91" s="37"/>
      <c r="R91" s="33"/>
      <c r="S91" s="37"/>
      <c r="T91" s="37"/>
      <c r="U91" s="38" t="s">
        <v>190</v>
      </c>
      <c r="V91" s="39" t="str">
        <f>IF(T91&lt;&gt;"","9 - Closed",IF(S91&lt;&gt;"","8 - Definitive Agreement",IF(Q91&lt;&gt;"","7 - Diligence",IF(P91&lt;&gt;"","6 - LOI Signed",IF(O91&lt;&gt;"","5 - Mgmt Meeting",IF(L91&lt;&gt;"","4 - IOI Received",IF(K91&lt;&gt;"","3 - CIM Sent",IF(J91&lt;&gt;"","2 - NDA Signed",IF(I91&lt;&gt;"","1 - Teaser Sent","0 - Not Contacted")))))))))</f>
        <v>1 - Teaser Sent</v>
      </c>
      <c r="W91" s="39">
        <f>IF(COUNT(G91:T91)=0,"-",Dashboard!$I$6-MAX(G91:T91))</f>
        <v>154</v>
      </c>
      <c r="X91" s="40" t="s">
        <v>819</v>
      </c>
    </row>
    <row r="92" spans="1:24" ht="15" customHeight="1">
      <c r="A92" s="31" t="s">
        <v>442</v>
      </c>
      <c r="B92" s="32" t="s">
        <v>443</v>
      </c>
      <c r="C92" s="33" t="s">
        <v>79</v>
      </c>
      <c r="D92" s="33" t="s">
        <v>80</v>
      </c>
      <c r="E92" s="32" t="s">
        <v>444</v>
      </c>
      <c r="F92" s="32" t="s">
        <v>445</v>
      </c>
      <c r="G92" s="34">
        <v>46097</v>
      </c>
      <c r="H92" s="37"/>
      <c r="I92" s="34">
        <v>46097</v>
      </c>
      <c r="J92" s="37"/>
      <c r="K92" s="37"/>
      <c r="L92" s="37"/>
      <c r="M92" s="33"/>
      <c r="N92" s="33"/>
      <c r="O92" s="37"/>
      <c r="P92" s="37"/>
      <c r="Q92" s="37"/>
      <c r="R92" s="33"/>
      <c r="S92" s="37"/>
      <c r="T92" s="37"/>
      <c r="U92" s="38" t="s">
        <v>89</v>
      </c>
      <c r="V92" s="39" t="str">
        <f>IF(T92&lt;&gt;"","9 - Closed",IF(S92&lt;&gt;"","8 - Definitive Agreement",IF(Q92&lt;&gt;"","7 - Diligence",IF(P92&lt;&gt;"","6 - LOI Signed",IF(O92&lt;&gt;"","5 - Mgmt Meeting",IF(L92&lt;&gt;"","4 - IOI Received",IF(K92&lt;&gt;"","3 - CIM Sent",IF(J92&lt;&gt;"","2 - NDA Signed",IF(I92&lt;&gt;"","1 - Teaser Sent","0 - Not Contacted")))))))))</f>
        <v>1 - Teaser Sent</v>
      </c>
      <c r="W92" s="39">
        <f>IF(COUNT(G92:T92)=0,"-",Dashboard!$I$6-MAX(G92:T92))</f>
        <v>147</v>
      </c>
      <c r="X92" s="40" t="s">
        <v>818</v>
      </c>
    </row>
    <row r="93" spans="1:24" ht="15" customHeight="1">
      <c r="A93" s="31" t="s">
        <v>446</v>
      </c>
      <c r="B93" s="32" t="s">
        <v>447</v>
      </c>
      <c r="C93" s="33" t="s">
        <v>79</v>
      </c>
      <c r="D93" s="33" t="s">
        <v>80</v>
      </c>
      <c r="E93" s="32" t="s">
        <v>448</v>
      </c>
      <c r="F93" s="32" t="s">
        <v>449</v>
      </c>
      <c r="G93" s="34">
        <v>46091</v>
      </c>
      <c r="H93" s="37"/>
      <c r="I93" s="34">
        <v>46091</v>
      </c>
      <c r="J93" s="37"/>
      <c r="K93" s="37"/>
      <c r="L93" s="37"/>
      <c r="M93" s="33"/>
      <c r="N93" s="33"/>
      <c r="O93" s="37"/>
      <c r="P93" s="37"/>
      <c r="Q93" s="37"/>
      <c r="R93" s="33"/>
      <c r="S93" s="37"/>
      <c r="T93" s="37"/>
      <c r="U93" s="38" t="s">
        <v>190</v>
      </c>
      <c r="V93" s="39" t="str">
        <f>IF(T93&lt;&gt;"","9 - Closed",IF(S93&lt;&gt;"","8 - Definitive Agreement",IF(Q93&lt;&gt;"","7 - Diligence",IF(P93&lt;&gt;"","6 - LOI Signed",IF(O93&lt;&gt;"","5 - Mgmt Meeting",IF(L93&lt;&gt;"","4 - IOI Received",IF(K93&lt;&gt;"","3 - CIM Sent",IF(J93&lt;&gt;"","2 - NDA Signed",IF(I93&lt;&gt;"","1 - Teaser Sent","0 - Not Contacted")))))))))</f>
        <v>1 - Teaser Sent</v>
      </c>
      <c r="W93" s="39">
        <f>IF(COUNT(G93:T93)=0,"-",Dashboard!$I$6-MAX(G93:T93))</f>
        <v>153</v>
      </c>
      <c r="X93" s="40" t="s">
        <v>819</v>
      </c>
    </row>
    <row r="94" spans="1:24" ht="15" customHeight="1">
      <c r="A94" s="31" t="s">
        <v>450</v>
      </c>
      <c r="B94" s="32" t="s">
        <v>451</v>
      </c>
      <c r="C94" s="33" t="s">
        <v>115</v>
      </c>
      <c r="D94" s="33" t="s">
        <v>80</v>
      </c>
      <c r="E94" s="32" t="s">
        <v>452</v>
      </c>
      <c r="F94" s="32" t="s">
        <v>453</v>
      </c>
      <c r="G94" s="34">
        <v>46104</v>
      </c>
      <c r="H94" s="37"/>
      <c r="I94" s="34">
        <v>46104</v>
      </c>
      <c r="J94" s="37"/>
      <c r="K94" s="37"/>
      <c r="L94" s="37"/>
      <c r="M94" s="33"/>
      <c r="N94" s="33"/>
      <c r="O94" s="37"/>
      <c r="P94" s="37"/>
      <c r="Q94" s="37"/>
      <c r="R94" s="33"/>
      <c r="S94" s="37"/>
      <c r="T94" s="37"/>
      <c r="U94" s="38" t="s">
        <v>190</v>
      </c>
      <c r="V94" s="39" t="str">
        <f>IF(T94&lt;&gt;"","9 - Closed",IF(S94&lt;&gt;"","8 - Definitive Agreement",IF(Q94&lt;&gt;"","7 - Diligence",IF(P94&lt;&gt;"","6 - LOI Signed",IF(O94&lt;&gt;"","5 - Mgmt Meeting",IF(L94&lt;&gt;"","4 - IOI Received",IF(K94&lt;&gt;"","3 - CIM Sent",IF(J94&lt;&gt;"","2 - NDA Signed",IF(I94&lt;&gt;"","1 - Teaser Sent","0 - Not Contacted")))))))))</f>
        <v>1 - Teaser Sent</v>
      </c>
      <c r="W94" s="39">
        <f>IF(COUNT(G94:T94)=0,"-",Dashboard!$I$6-MAX(G94:T94))</f>
        <v>140</v>
      </c>
      <c r="X94" s="40" t="s">
        <v>819</v>
      </c>
    </row>
    <row r="95" spans="1:24" ht="15" customHeight="1">
      <c r="A95" s="31" t="s">
        <v>454</v>
      </c>
      <c r="B95" s="32" t="s">
        <v>455</v>
      </c>
      <c r="C95" s="33" t="s">
        <v>115</v>
      </c>
      <c r="D95" s="33" t="s">
        <v>80</v>
      </c>
      <c r="E95" s="32" t="s">
        <v>456</v>
      </c>
      <c r="F95" s="32" t="s">
        <v>457</v>
      </c>
      <c r="G95" s="34">
        <v>46100</v>
      </c>
      <c r="H95" s="37"/>
      <c r="I95" s="34">
        <v>46100</v>
      </c>
      <c r="J95" s="37"/>
      <c r="K95" s="37"/>
      <c r="L95" s="37"/>
      <c r="M95" s="33"/>
      <c r="N95" s="33"/>
      <c r="O95" s="37"/>
      <c r="P95" s="37"/>
      <c r="Q95" s="37"/>
      <c r="R95" s="33"/>
      <c r="S95" s="37"/>
      <c r="T95" s="37"/>
      <c r="U95" s="38" t="s">
        <v>190</v>
      </c>
      <c r="V95" s="39" t="str">
        <f>IF(T95&lt;&gt;"","9 - Closed",IF(S95&lt;&gt;"","8 - Definitive Agreement",IF(Q95&lt;&gt;"","7 - Diligence",IF(P95&lt;&gt;"","6 - LOI Signed",IF(O95&lt;&gt;"","5 - Mgmt Meeting",IF(L95&lt;&gt;"","4 - IOI Received",IF(K95&lt;&gt;"","3 - CIM Sent",IF(J95&lt;&gt;"","2 - NDA Signed",IF(I95&lt;&gt;"","1 - Teaser Sent","0 - Not Contacted")))))))))</f>
        <v>1 - Teaser Sent</v>
      </c>
      <c r="W95" s="39">
        <f>IF(COUNT(G95:T95)=0,"-",Dashboard!$I$6-MAX(G95:T95))</f>
        <v>144</v>
      </c>
      <c r="X95" s="40" t="s">
        <v>819</v>
      </c>
    </row>
    <row r="96" spans="1:24" ht="15" customHeight="1">
      <c r="A96" s="31" t="s">
        <v>458</v>
      </c>
      <c r="B96" s="32" t="s">
        <v>459</v>
      </c>
      <c r="C96" s="33" t="s">
        <v>79</v>
      </c>
      <c r="D96" s="33" t="s">
        <v>106</v>
      </c>
      <c r="E96" s="32" t="s">
        <v>194</v>
      </c>
      <c r="F96" s="32" t="s">
        <v>460</v>
      </c>
      <c r="G96" s="34">
        <v>46091</v>
      </c>
      <c r="H96" s="37"/>
      <c r="I96" s="34">
        <v>46091</v>
      </c>
      <c r="J96" s="37"/>
      <c r="K96" s="37"/>
      <c r="L96" s="37"/>
      <c r="M96" s="33"/>
      <c r="N96" s="33"/>
      <c r="O96" s="37"/>
      <c r="P96" s="37"/>
      <c r="Q96" s="37"/>
      <c r="R96" s="33"/>
      <c r="S96" s="37"/>
      <c r="T96" s="37"/>
      <c r="U96" s="38" t="s">
        <v>190</v>
      </c>
      <c r="V96" s="39" t="str">
        <f>IF(T96&lt;&gt;"","9 - Closed",IF(S96&lt;&gt;"","8 - Definitive Agreement",IF(Q96&lt;&gt;"","7 - Diligence",IF(P96&lt;&gt;"","6 - LOI Signed",IF(O96&lt;&gt;"","5 - Mgmt Meeting",IF(L96&lt;&gt;"","4 - IOI Received",IF(K96&lt;&gt;"","3 - CIM Sent",IF(J96&lt;&gt;"","2 - NDA Signed",IF(I96&lt;&gt;"","1 - Teaser Sent","0 - Not Contacted")))))))))</f>
        <v>1 - Teaser Sent</v>
      </c>
      <c r="W96" s="39">
        <f>IF(COUNT(G96:T96)=0,"-",Dashboard!$I$6-MAX(G96:T96))</f>
        <v>153</v>
      </c>
      <c r="X96" s="40" t="s">
        <v>819</v>
      </c>
    </row>
    <row r="97" spans="1:24" ht="15" customHeight="1">
      <c r="A97" s="31" t="s">
        <v>461</v>
      </c>
      <c r="B97" s="32" t="s">
        <v>462</v>
      </c>
      <c r="C97" s="33" t="s">
        <v>115</v>
      </c>
      <c r="D97" s="33" t="s">
        <v>106</v>
      </c>
      <c r="E97" s="32" t="s">
        <v>463</v>
      </c>
      <c r="F97" s="32" t="s">
        <v>464</v>
      </c>
      <c r="G97" s="34">
        <v>46088</v>
      </c>
      <c r="H97" s="37"/>
      <c r="I97" s="34">
        <v>46088</v>
      </c>
      <c r="J97" s="37"/>
      <c r="K97" s="37"/>
      <c r="L97" s="37"/>
      <c r="M97" s="33"/>
      <c r="N97" s="33"/>
      <c r="O97" s="37"/>
      <c r="P97" s="37"/>
      <c r="Q97" s="37"/>
      <c r="R97" s="33"/>
      <c r="S97" s="37"/>
      <c r="T97" s="37"/>
      <c r="U97" s="38" t="s">
        <v>89</v>
      </c>
      <c r="V97" s="39" t="str">
        <f>IF(T97&lt;&gt;"","9 - Closed",IF(S97&lt;&gt;"","8 - Definitive Agreement",IF(Q97&lt;&gt;"","7 - Diligence",IF(P97&lt;&gt;"","6 - LOI Signed",IF(O97&lt;&gt;"","5 - Mgmt Meeting",IF(L97&lt;&gt;"","4 - IOI Received",IF(K97&lt;&gt;"","3 - CIM Sent",IF(J97&lt;&gt;"","2 - NDA Signed",IF(I97&lt;&gt;"","1 - Teaser Sent","0 - Not Contacted")))))))))</f>
        <v>1 - Teaser Sent</v>
      </c>
      <c r="W97" s="39">
        <f>IF(COUNT(G97:T97)=0,"-",Dashboard!$I$6-MAX(G97:T97))</f>
        <v>156</v>
      </c>
      <c r="X97" s="40" t="s">
        <v>818</v>
      </c>
    </row>
    <row r="98" spans="1:24" ht="15" customHeight="1">
      <c r="A98" s="31" t="s">
        <v>465</v>
      </c>
      <c r="B98" s="32" t="s">
        <v>466</v>
      </c>
      <c r="C98" s="33" t="s">
        <v>115</v>
      </c>
      <c r="D98" s="33" t="s">
        <v>80</v>
      </c>
      <c r="E98" s="32" t="s">
        <v>467</v>
      </c>
      <c r="F98" s="32" t="s">
        <v>468</v>
      </c>
      <c r="G98" s="34">
        <v>46101</v>
      </c>
      <c r="H98" s="37"/>
      <c r="I98" s="34">
        <v>46101</v>
      </c>
      <c r="J98" s="37"/>
      <c r="K98" s="37"/>
      <c r="L98" s="37"/>
      <c r="M98" s="33"/>
      <c r="N98" s="33"/>
      <c r="O98" s="37"/>
      <c r="P98" s="37"/>
      <c r="Q98" s="37"/>
      <c r="R98" s="33"/>
      <c r="S98" s="37"/>
      <c r="T98" s="37"/>
      <c r="U98" s="38" t="s">
        <v>190</v>
      </c>
      <c r="V98" s="39" t="str">
        <f>IF(T98&lt;&gt;"","9 - Closed",IF(S98&lt;&gt;"","8 - Definitive Agreement",IF(Q98&lt;&gt;"","7 - Diligence",IF(P98&lt;&gt;"","6 - LOI Signed",IF(O98&lt;&gt;"","5 - Mgmt Meeting",IF(L98&lt;&gt;"","4 - IOI Received",IF(K98&lt;&gt;"","3 - CIM Sent",IF(J98&lt;&gt;"","2 - NDA Signed",IF(I98&lt;&gt;"","1 - Teaser Sent","0 - Not Contacted")))))))))</f>
        <v>1 - Teaser Sent</v>
      </c>
      <c r="W98" s="39">
        <f>IF(COUNT(G98:T98)=0,"-",Dashboard!$I$6-MAX(G98:T98))</f>
        <v>143</v>
      </c>
      <c r="X98" s="40" t="s">
        <v>819</v>
      </c>
    </row>
    <row r="99" spans="1:24" ht="15" customHeight="1">
      <c r="A99" s="31" t="s">
        <v>469</v>
      </c>
      <c r="B99" s="32" t="s">
        <v>470</v>
      </c>
      <c r="C99" s="33" t="s">
        <v>79</v>
      </c>
      <c r="D99" s="33" t="s">
        <v>80</v>
      </c>
      <c r="E99" s="32" t="s">
        <v>471</v>
      </c>
      <c r="F99" s="32" t="s">
        <v>472</v>
      </c>
      <c r="G99" s="34">
        <v>46097</v>
      </c>
      <c r="H99" s="37"/>
      <c r="I99" s="34">
        <v>46097</v>
      </c>
      <c r="J99" s="37"/>
      <c r="K99" s="37"/>
      <c r="L99" s="37"/>
      <c r="M99" s="33"/>
      <c r="N99" s="33"/>
      <c r="O99" s="37"/>
      <c r="P99" s="37"/>
      <c r="Q99" s="37"/>
      <c r="R99" s="33"/>
      <c r="S99" s="37"/>
      <c r="T99" s="37"/>
      <c r="U99" s="38" t="s">
        <v>190</v>
      </c>
      <c r="V99" s="39" t="str">
        <f>IF(T99&lt;&gt;"","9 - Closed",IF(S99&lt;&gt;"","8 - Definitive Agreement",IF(Q99&lt;&gt;"","7 - Diligence",IF(P99&lt;&gt;"","6 - LOI Signed",IF(O99&lt;&gt;"","5 - Mgmt Meeting",IF(L99&lt;&gt;"","4 - IOI Received",IF(K99&lt;&gt;"","3 - CIM Sent",IF(J99&lt;&gt;"","2 - NDA Signed",IF(I99&lt;&gt;"","1 - Teaser Sent","0 - Not Contacted")))))))))</f>
        <v>1 - Teaser Sent</v>
      </c>
      <c r="W99" s="39">
        <f>IF(COUNT(G99:T99)=0,"-",Dashboard!$I$6-MAX(G99:T99))</f>
        <v>147</v>
      </c>
      <c r="X99" s="40" t="s">
        <v>819</v>
      </c>
    </row>
    <row r="100" spans="1:24" ht="15" customHeight="1">
      <c r="A100" s="31" t="s">
        <v>473</v>
      </c>
      <c r="B100" s="32" t="s">
        <v>474</v>
      </c>
      <c r="C100" s="33" t="s">
        <v>115</v>
      </c>
      <c r="D100" s="33" t="s">
        <v>93</v>
      </c>
      <c r="E100" s="32" t="s">
        <v>475</v>
      </c>
      <c r="F100" s="32" t="s">
        <v>476</v>
      </c>
      <c r="G100" s="34">
        <v>46091</v>
      </c>
      <c r="H100" s="37"/>
      <c r="I100" s="34">
        <v>46091</v>
      </c>
      <c r="J100" s="37"/>
      <c r="K100" s="37"/>
      <c r="L100" s="37"/>
      <c r="M100" s="33"/>
      <c r="N100" s="33"/>
      <c r="O100" s="37"/>
      <c r="P100" s="37"/>
      <c r="Q100" s="37"/>
      <c r="R100" s="33"/>
      <c r="S100" s="37"/>
      <c r="T100" s="37"/>
      <c r="U100" s="38" t="s">
        <v>89</v>
      </c>
      <c r="V100" s="39" t="str">
        <f>IF(T100&lt;&gt;"","9 - Closed",IF(S100&lt;&gt;"","8 - Definitive Agreement",IF(Q100&lt;&gt;"","7 - Diligence",IF(P100&lt;&gt;"","6 - LOI Signed",IF(O100&lt;&gt;"","5 - Mgmt Meeting",IF(L100&lt;&gt;"","4 - IOI Received",IF(K100&lt;&gt;"","3 - CIM Sent",IF(J100&lt;&gt;"","2 - NDA Signed",IF(I100&lt;&gt;"","1 - Teaser Sent","0 - Not Contacted")))))))))</f>
        <v>1 - Teaser Sent</v>
      </c>
      <c r="W100" s="39">
        <f>IF(COUNT(G100:T100)=0,"-",Dashboard!$I$6-MAX(G100:T100))</f>
        <v>153</v>
      </c>
      <c r="X100" s="40" t="s">
        <v>818</v>
      </c>
    </row>
    <row r="101" spans="1:24" ht="15" customHeight="1">
      <c r="A101" s="31" t="s">
        <v>477</v>
      </c>
      <c r="B101" s="32" t="s">
        <v>478</v>
      </c>
      <c r="C101" s="33" t="s">
        <v>99</v>
      </c>
      <c r="D101" s="33" t="s">
        <v>80</v>
      </c>
      <c r="E101" s="32" t="s">
        <v>479</v>
      </c>
      <c r="F101" s="32" t="s">
        <v>480</v>
      </c>
      <c r="G101" s="34">
        <v>46085</v>
      </c>
      <c r="H101" s="37"/>
      <c r="I101" s="34">
        <v>46085</v>
      </c>
      <c r="J101" s="37"/>
      <c r="K101" s="37"/>
      <c r="L101" s="37"/>
      <c r="M101" s="33"/>
      <c r="N101" s="33"/>
      <c r="O101" s="37"/>
      <c r="P101" s="37"/>
      <c r="Q101" s="37"/>
      <c r="R101" s="33"/>
      <c r="S101" s="37"/>
      <c r="T101" s="37"/>
      <c r="U101" s="38" t="s">
        <v>190</v>
      </c>
      <c r="V101" s="39" t="str">
        <f>IF(T101&lt;&gt;"","9 - Closed",IF(S101&lt;&gt;"","8 - Definitive Agreement",IF(Q101&lt;&gt;"","7 - Diligence",IF(P101&lt;&gt;"","6 - LOI Signed",IF(O101&lt;&gt;"","5 - Mgmt Meeting",IF(L101&lt;&gt;"","4 - IOI Received",IF(K101&lt;&gt;"","3 - CIM Sent",IF(J101&lt;&gt;"","2 - NDA Signed",IF(I101&lt;&gt;"","1 - Teaser Sent","0 - Not Contacted")))))))))</f>
        <v>1 - Teaser Sent</v>
      </c>
      <c r="W101" s="39">
        <f>IF(COUNT(G101:T101)=0,"-",Dashboard!$I$6-MAX(G101:T101))</f>
        <v>159</v>
      </c>
      <c r="X101" s="40" t="s">
        <v>819</v>
      </c>
    </row>
    <row r="102" spans="1:24" ht="15" customHeight="1">
      <c r="A102" s="31" t="s">
        <v>481</v>
      </c>
      <c r="B102" s="32" t="s">
        <v>482</v>
      </c>
      <c r="C102" s="33" t="s">
        <v>79</v>
      </c>
      <c r="D102" s="33" t="s">
        <v>93</v>
      </c>
      <c r="E102" s="32" t="s">
        <v>483</v>
      </c>
      <c r="F102" s="32" t="s">
        <v>484</v>
      </c>
      <c r="G102" s="34">
        <v>46106</v>
      </c>
      <c r="H102" s="37"/>
      <c r="I102" s="34">
        <v>46106</v>
      </c>
      <c r="J102" s="37"/>
      <c r="K102" s="37"/>
      <c r="L102" s="37"/>
      <c r="M102" s="33"/>
      <c r="N102" s="33"/>
      <c r="O102" s="37"/>
      <c r="P102" s="37"/>
      <c r="Q102" s="37"/>
      <c r="R102" s="33"/>
      <c r="S102" s="37"/>
      <c r="T102" s="37"/>
      <c r="U102" s="38" t="s">
        <v>190</v>
      </c>
      <c r="V102" s="39" t="str">
        <f>IF(T102&lt;&gt;"","9 - Closed",IF(S102&lt;&gt;"","8 - Definitive Agreement",IF(Q102&lt;&gt;"","7 - Diligence",IF(P102&lt;&gt;"","6 - LOI Signed",IF(O102&lt;&gt;"","5 - Mgmt Meeting",IF(L102&lt;&gt;"","4 - IOI Received",IF(K102&lt;&gt;"","3 - CIM Sent",IF(J102&lt;&gt;"","2 - NDA Signed",IF(I102&lt;&gt;"","1 - Teaser Sent","0 - Not Contacted")))))))))</f>
        <v>1 - Teaser Sent</v>
      </c>
      <c r="W102" s="39">
        <f>IF(COUNT(G102:T102)=0,"-",Dashboard!$I$6-MAX(G102:T102))</f>
        <v>138</v>
      </c>
      <c r="X102" s="40" t="s">
        <v>819</v>
      </c>
    </row>
    <row r="103" spans="1:24" ht="15" customHeight="1">
      <c r="A103" s="31" t="s">
        <v>485</v>
      </c>
      <c r="B103" s="32" t="s">
        <v>486</v>
      </c>
      <c r="C103" s="33" t="s">
        <v>115</v>
      </c>
      <c r="D103" s="33" t="s">
        <v>80</v>
      </c>
      <c r="E103" s="32" t="s">
        <v>487</v>
      </c>
      <c r="F103" s="32" t="s">
        <v>488</v>
      </c>
      <c r="G103" s="34">
        <v>46085</v>
      </c>
      <c r="H103" s="37"/>
      <c r="I103" s="34">
        <v>46085</v>
      </c>
      <c r="J103" s="37"/>
      <c r="K103" s="37"/>
      <c r="L103" s="37"/>
      <c r="M103" s="33"/>
      <c r="N103" s="33"/>
      <c r="O103" s="37"/>
      <c r="P103" s="37"/>
      <c r="Q103" s="37"/>
      <c r="R103" s="33"/>
      <c r="S103" s="37"/>
      <c r="T103" s="37"/>
      <c r="U103" s="38" t="s">
        <v>89</v>
      </c>
      <c r="V103" s="39" t="str">
        <f>IF(T103&lt;&gt;"","9 - Closed",IF(S103&lt;&gt;"","8 - Definitive Agreement",IF(Q103&lt;&gt;"","7 - Diligence",IF(P103&lt;&gt;"","6 - LOI Signed",IF(O103&lt;&gt;"","5 - Mgmt Meeting",IF(L103&lt;&gt;"","4 - IOI Received",IF(K103&lt;&gt;"","3 - CIM Sent",IF(J103&lt;&gt;"","2 - NDA Signed",IF(I103&lt;&gt;"","1 - Teaser Sent","0 - Not Contacted")))))))))</f>
        <v>1 - Teaser Sent</v>
      </c>
      <c r="W103" s="39">
        <f>IF(COUNT(G103:T103)=0,"-",Dashboard!$I$6-MAX(G103:T103))</f>
        <v>159</v>
      </c>
      <c r="X103" s="40" t="s">
        <v>818</v>
      </c>
    </row>
    <row r="104" spans="1:24" ht="15" customHeight="1">
      <c r="A104" s="31" t="s">
        <v>489</v>
      </c>
      <c r="B104" s="32" t="s">
        <v>490</v>
      </c>
      <c r="C104" s="33" t="s">
        <v>79</v>
      </c>
      <c r="D104" s="33" t="s">
        <v>93</v>
      </c>
      <c r="E104" s="32" t="s">
        <v>491</v>
      </c>
      <c r="F104" s="32" t="s">
        <v>492</v>
      </c>
      <c r="G104" s="34">
        <v>46101</v>
      </c>
      <c r="H104" s="37"/>
      <c r="I104" s="34">
        <v>46101</v>
      </c>
      <c r="J104" s="37"/>
      <c r="K104" s="37"/>
      <c r="L104" s="37"/>
      <c r="M104" s="33"/>
      <c r="N104" s="33"/>
      <c r="O104" s="37"/>
      <c r="P104" s="37"/>
      <c r="Q104" s="37"/>
      <c r="R104" s="33"/>
      <c r="S104" s="37"/>
      <c r="T104" s="37"/>
      <c r="U104" s="38" t="s">
        <v>89</v>
      </c>
      <c r="V104" s="39" t="str">
        <f>IF(T104&lt;&gt;"","9 - Closed",IF(S104&lt;&gt;"","8 - Definitive Agreement",IF(Q104&lt;&gt;"","7 - Diligence",IF(P104&lt;&gt;"","6 - LOI Signed",IF(O104&lt;&gt;"","5 - Mgmt Meeting",IF(L104&lt;&gt;"","4 - IOI Received",IF(K104&lt;&gt;"","3 - CIM Sent",IF(J104&lt;&gt;"","2 - NDA Signed",IF(I104&lt;&gt;"","1 - Teaser Sent","0 - Not Contacted")))))))))</f>
        <v>1 - Teaser Sent</v>
      </c>
      <c r="W104" s="39">
        <f>IF(COUNT(G104:T104)=0,"-",Dashboard!$I$6-MAX(G104:T104))</f>
        <v>143</v>
      </c>
      <c r="X104" s="40" t="s">
        <v>818</v>
      </c>
    </row>
    <row r="105" spans="1:24" ht="15" customHeight="1">
      <c r="A105" s="31" t="s">
        <v>493</v>
      </c>
      <c r="B105" s="32" t="s">
        <v>494</v>
      </c>
      <c r="C105" s="33" t="s">
        <v>99</v>
      </c>
      <c r="D105" s="33" t="s">
        <v>93</v>
      </c>
      <c r="E105" s="32" t="s">
        <v>495</v>
      </c>
      <c r="F105" s="32" t="s">
        <v>496</v>
      </c>
      <c r="G105" s="34">
        <v>46104</v>
      </c>
      <c r="H105" s="37"/>
      <c r="I105" s="34">
        <v>46104</v>
      </c>
      <c r="J105" s="37"/>
      <c r="K105" s="37"/>
      <c r="L105" s="37"/>
      <c r="M105" s="33"/>
      <c r="N105" s="33"/>
      <c r="O105" s="37"/>
      <c r="P105" s="37"/>
      <c r="Q105" s="37"/>
      <c r="R105" s="33"/>
      <c r="S105" s="37"/>
      <c r="T105" s="37"/>
      <c r="U105" s="38" t="s">
        <v>89</v>
      </c>
      <c r="V105" s="39" t="str">
        <f>IF(T105&lt;&gt;"","9 - Closed",IF(S105&lt;&gt;"","8 - Definitive Agreement",IF(Q105&lt;&gt;"","7 - Diligence",IF(P105&lt;&gt;"","6 - LOI Signed",IF(O105&lt;&gt;"","5 - Mgmt Meeting",IF(L105&lt;&gt;"","4 - IOI Received",IF(K105&lt;&gt;"","3 - CIM Sent",IF(J105&lt;&gt;"","2 - NDA Signed",IF(I105&lt;&gt;"","1 - Teaser Sent","0 - Not Contacted")))))))))</f>
        <v>1 - Teaser Sent</v>
      </c>
      <c r="W105" s="39">
        <f>IF(COUNT(G105:T105)=0,"-",Dashboard!$I$6-MAX(G105:T105))</f>
        <v>140</v>
      </c>
      <c r="X105" s="40" t="s">
        <v>818</v>
      </c>
    </row>
    <row r="106" spans="1:24" ht="15" customHeight="1">
      <c r="A106" s="31" t="s">
        <v>497</v>
      </c>
      <c r="B106" s="32" t="s">
        <v>498</v>
      </c>
      <c r="C106" s="33" t="s">
        <v>79</v>
      </c>
      <c r="D106" s="33" t="s">
        <v>80</v>
      </c>
      <c r="E106" s="32" t="s">
        <v>499</v>
      </c>
      <c r="F106" s="32" t="s">
        <v>500</v>
      </c>
      <c r="G106" s="34">
        <v>46107</v>
      </c>
      <c r="H106" s="37"/>
      <c r="I106" s="34">
        <v>46107</v>
      </c>
      <c r="J106" s="37"/>
      <c r="K106" s="37"/>
      <c r="L106" s="37"/>
      <c r="M106" s="33"/>
      <c r="N106" s="33"/>
      <c r="O106" s="37"/>
      <c r="P106" s="37"/>
      <c r="Q106" s="37"/>
      <c r="R106" s="33"/>
      <c r="S106" s="37"/>
      <c r="T106" s="37"/>
      <c r="U106" s="38" t="s">
        <v>190</v>
      </c>
      <c r="V106" s="39" t="str">
        <f>IF(T106&lt;&gt;"","9 - Closed",IF(S106&lt;&gt;"","8 - Definitive Agreement",IF(Q106&lt;&gt;"","7 - Diligence",IF(P106&lt;&gt;"","6 - LOI Signed",IF(O106&lt;&gt;"","5 - Mgmt Meeting",IF(L106&lt;&gt;"","4 - IOI Received",IF(K106&lt;&gt;"","3 - CIM Sent",IF(J106&lt;&gt;"","2 - NDA Signed",IF(I106&lt;&gt;"","1 - Teaser Sent","0 - Not Contacted")))))))))</f>
        <v>1 - Teaser Sent</v>
      </c>
      <c r="W106" s="39">
        <f>IF(COUNT(G106:T106)=0,"-",Dashboard!$I$6-MAX(G106:T106))</f>
        <v>137</v>
      </c>
      <c r="X106" s="40" t="s">
        <v>819</v>
      </c>
    </row>
    <row r="107" spans="1:24" ht="15" customHeight="1">
      <c r="A107" s="31" t="s">
        <v>501</v>
      </c>
      <c r="B107" s="32" t="s">
        <v>502</v>
      </c>
      <c r="C107" s="33" t="s">
        <v>79</v>
      </c>
      <c r="D107" s="33" t="s">
        <v>80</v>
      </c>
      <c r="E107" s="32" t="s">
        <v>503</v>
      </c>
      <c r="F107" s="32" t="s">
        <v>504</v>
      </c>
      <c r="G107" s="34">
        <v>46103</v>
      </c>
      <c r="H107" s="37"/>
      <c r="I107" s="34">
        <v>46103</v>
      </c>
      <c r="J107" s="37"/>
      <c r="K107" s="37"/>
      <c r="L107" s="37"/>
      <c r="M107" s="33"/>
      <c r="N107" s="33"/>
      <c r="O107" s="37"/>
      <c r="P107" s="37"/>
      <c r="Q107" s="37"/>
      <c r="R107" s="33"/>
      <c r="S107" s="37"/>
      <c r="T107" s="37"/>
      <c r="U107" s="38" t="s">
        <v>190</v>
      </c>
      <c r="V107" s="39" t="str">
        <f>IF(T107&lt;&gt;"","9 - Closed",IF(S107&lt;&gt;"","8 - Definitive Agreement",IF(Q107&lt;&gt;"","7 - Diligence",IF(P107&lt;&gt;"","6 - LOI Signed",IF(O107&lt;&gt;"","5 - Mgmt Meeting",IF(L107&lt;&gt;"","4 - IOI Received",IF(K107&lt;&gt;"","3 - CIM Sent",IF(J107&lt;&gt;"","2 - NDA Signed",IF(I107&lt;&gt;"","1 - Teaser Sent","0 - Not Contacted")))))))))</f>
        <v>1 - Teaser Sent</v>
      </c>
      <c r="W107" s="39">
        <f>IF(COUNT(G107:T107)=0,"-",Dashboard!$I$6-MAX(G107:T107))</f>
        <v>141</v>
      </c>
      <c r="X107" s="40" t="s">
        <v>819</v>
      </c>
    </row>
    <row r="108" spans="1:24" ht="15" customHeight="1">
      <c r="A108" s="31" t="s">
        <v>505</v>
      </c>
      <c r="B108" s="32" t="s">
        <v>506</v>
      </c>
      <c r="C108" s="33" t="s">
        <v>79</v>
      </c>
      <c r="D108" s="33" t="s">
        <v>106</v>
      </c>
      <c r="E108" s="32" t="s">
        <v>507</v>
      </c>
      <c r="F108" s="32" t="s">
        <v>508</v>
      </c>
      <c r="G108" s="34">
        <v>46101</v>
      </c>
      <c r="H108" s="37"/>
      <c r="I108" s="34">
        <v>46101</v>
      </c>
      <c r="J108" s="37"/>
      <c r="K108" s="37"/>
      <c r="L108" s="37"/>
      <c r="M108" s="33"/>
      <c r="N108" s="33"/>
      <c r="O108" s="37"/>
      <c r="P108" s="37"/>
      <c r="Q108" s="37"/>
      <c r="R108" s="33"/>
      <c r="S108" s="37"/>
      <c r="T108" s="37"/>
      <c r="U108" s="38" t="s">
        <v>89</v>
      </c>
      <c r="V108" s="39" t="str">
        <f>IF(T108&lt;&gt;"","9 - Closed",IF(S108&lt;&gt;"","8 - Definitive Agreement",IF(Q108&lt;&gt;"","7 - Diligence",IF(P108&lt;&gt;"","6 - LOI Signed",IF(O108&lt;&gt;"","5 - Mgmt Meeting",IF(L108&lt;&gt;"","4 - IOI Received",IF(K108&lt;&gt;"","3 - CIM Sent",IF(J108&lt;&gt;"","2 - NDA Signed",IF(I108&lt;&gt;"","1 - Teaser Sent","0 - Not Contacted")))))))))</f>
        <v>1 - Teaser Sent</v>
      </c>
      <c r="W108" s="39">
        <f>IF(COUNT(G108:T108)=0,"-",Dashboard!$I$6-MAX(G108:T108))</f>
        <v>143</v>
      </c>
      <c r="X108" s="40" t="s">
        <v>818</v>
      </c>
    </row>
    <row r="109" spans="1:24" ht="15" customHeight="1">
      <c r="A109" s="31" t="s">
        <v>509</v>
      </c>
      <c r="B109" s="32" t="s">
        <v>510</v>
      </c>
      <c r="C109" s="33" t="s">
        <v>79</v>
      </c>
      <c r="D109" s="33" t="s">
        <v>93</v>
      </c>
      <c r="E109" s="32" t="s">
        <v>511</v>
      </c>
      <c r="F109" s="32" t="s">
        <v>512</v>
      </c>
      <c r="G109" s="34">
        <v>46085</v>
      </c>
      <c r="H109" s="37"/>
      <c r="I109" s="34">
        <v>46085</v>
      </c>
      <c r="J109" s="37"/>
      <c r="K109" s="37"/>
      <c r="L109" s="37"/>
      <c r="M109" s="33"/>
      <c r="N109" s="33"/>
      <c r="O109" s="37"/>
      <c r="P109" s="37"/>
      <c r="Q109" s="37"/>
      <c r="R109" s="33"/>
      <c r="S109" s="37"/>
      <c r="T109" s="37"/>
      <c r="U109" s="38" t="s">
        <v>190</v>
      </c>
      <c r="V109" s="39" t="str">
        <f>IF(T109&lt;&gt;"","9 - Closed",IF(S109&lt;&gt;"","8 - Definitive Agreement",IF(Q109&lt;&gt;"","7 - Diligence",IF(P109&lt;&gt;"","6 - LOI Signed",IF(O109&lt;&gt;"","5 - Mgmt Meeting",IF(L109&lt;&gt;"","4 - IOI Received",IF(K109&lt;&gt;"","3 - CIM Sent",IF(J109&lt;&gt;"","2 - NDA Signed",IF(I109&lt;&gt;"","1 - Teaser Sent","0 - Not Contacted")))))))))</f>
        <v>1 - Teaser Sent</v>
      </c>
      <c r="W109" s="39">
        <f>IF(COUNT(G109:T109)=0,"-",Dashboard!$I$6-MAX(G109:T109))</f>
        <v>159</v>
      </c>
      <c r="X109" s="40" t="s">
        <v>819</v>
      </c>
    </row>
    <row r="110" spans="1:24" ht="15" customHeight="1">
      <c r="A110" s="31" t="s">
        <v>513</v>
      </c>
      <c r="B110" s="32" t="s">
        <v>514</v>
      </c>
      <c r="C110" s="33" t="s">
        <v>115</v>
      </c>
      <c r="D110" s="33" t="s">
        <v>80</v>
      </c>
      <c r="E110" s="32" t="s">
        <v>515</v>
      </c>
      <c r="F110" s="32" t="s">
        <v>516</v>
      </c>
      <c r="G110" s="34">
        <v>46093</v>
      </c>
      <c r="H110" s="37"/>
      <c r="I110" s="34">
        <v>46093</v>
      </c>
      <c r="J110" s="37"/>
      <c r="K110" s="37"/>
      <c r="L110" s="37"/>
      <c r="M110" s="33"/>
      <c r="N110" s="33"/>
      <c r="O110" s="37"/>
      <c r="P110" s="37"/>
      <c r="Q110" s="37"/>
      <c r="R110" s="33"/>
      <c r="S110" s="37"/>
      <c r="T110" s="37"/>
      <c r="U110" s="38" t="s">
        <v>190</v>
      </c>
      <c r="V110" s="39" t="str">
        <f>IF(T110&lt;&gt;"","9 - Closed",IF(S110&lt;&gt;"","8 - Definitive Agreement",IF(Q110&lt;&gt;"","7 - Diligence",IF(P110&lt;&gt;"","6 - LOI Signed",IF(O110&lt;&gt;"","5 - Mgmt Meeting",IF(L110&lt;&gt;"","4 - IOI Received",IF(K110&lt;&gt;"","3 - CIM Sent",IF(J110&lt;&gt;"","2 - NDA Signed",IF(I110&lt;&gt;"","1 - Teaser Sent","0 - Not Contacted")))))))))</f>
        <v>1 - Teaser Sent</v>
      </c>
      <c r="W110" s="39">
        <f>IF(COUNT(G110:T110)=0,"-",Dashboard!$I$6-MAX(G110:T110))</f>
        <v>151</v>
      </c>
      <c r="X110" s="40" t="s">
        <v>819</v>
      </c>
    </row>
    <row r="111" spans="1:24" ht="15" customHeight="1">
      <c r="A111" s="31" t="s">
        <v>517</v>
      </c>
      <c r="B111" s="32" t="s">
        <v>518</v>
      </c>
      <c r="C111" s="33" t="s">
        <v>115</v>
      </c>
      <c r="D111" s="33" t="s">
        <v>93</v>
      </c>
      <c r="E111" s="32" t="s">
        <v>519</v>
      </c>
      <c r="F111" s="32" t="s">
        <v>520</v>
      </c>
      <c r="G111" s="34">
        <v>46093</v>
      </c>
      <c r="H111" s="37"/>
      <c r="I111" s="34">
        <v>46093</v>
      </c>
      <c r="J111" s="37"/>
      <c r="K111" s="37"/>
      <c r="L111" s="37"/>
      <c r="M111" s="33"/>
      <c r="N111" s="33"/>
      <c r="O111" s="37"/>
      <c r="P111" s="37"/>
      <c r="Q111" s="37"/>
      <c r="R111" s="33"/>
      <c r="S111" s="37"/>
      <c r="T111" s="37"/>
      <c r="U111" s="38" t="s">
        <v>89</v>
      </c>
      <c r="V111" s="39" t="str">
        <f>IF(T111&lt;&gt;"","9 - Closed",IF(S111&lt;&gt;"","8 - Definitive Agreement",IF(Q111&lt;&gt;"","7 - Diligence",IF(P111&lt;&gt;"","6 - LOI Signed",IF(O111&lt;&gt;"","5 - Mgmt Meeting",IF(L111&lt;&gt;"","4 - IOI Received",IF(K111&lt;&gt;"","3 - CIM Sent",IF(J111&lt;&gt;"","2 - NDA Signed",IF(I111&lt;&gt;"","1 - Teaser Sent","0 - Not Contacted")))))))))</f>
        <v>1 - Teaser Sent</v>
      </c>
      <c r="W111" s="39">
        <f>IF(COUNT(G111:T111)=0,"-",Dashboard!$I$6-MAX(G111:T111))</f>
        <v>151</v>
      </c>
      <c r="X111" s="40" t="s">
        <v>818</v>
      </c>
    </row>
    <row r="112" spans="1:24" ht="15" customHeight="1">
      <c r="A112" s="31" t="s">
        <v>521</v>
      </c>
      <c r="B112" s="32" t="s">
        <v>522</v>
      </c>
      <c r="C112" s="33" t="s">
        <v>79</v>
      </c>
      <c r="D112" s="33" t="s">
        <v>80</v>
      </c>
      <c r="E112" s="32" t="s">
        <v>523</v>
      </c>
      <c r="F112" s="32" t="s">
        <v>524</v>
      </c>
      <c r="G112" s="34">
        <v>46104</v>
      </c>
      <c r="H112" s="37"/>
      <c r="I112" s="34">
        <v>46104</v>
      </c>
      <c r="J112" s="37"/>
      <c r="K112" s="37"/>
      <c r="L112" s="37"/>
      <c r="M112" s="33"/>
      <c r="N112" s="33"/>
      <c r="O112" s="37"/>
      <c r="P112" s="37"/>
      <c r="Q112" s="37"/>
      <c r="R112" s="33"/>
      <c r="S112" s="37"/>
      <c r="T112" s="37"/>
      <c r="U112" s="38" t="s">
        <v>89</v>
      </c>
      <c r="V112" s="39" t="str">
        <f>IF(T112&lt;&gt;"","9 - Closed",IF(S112&lt;&gt;"","8 - Definitive Agreement",IF(Q112&lt;&gt;"","7 - Diligence",IF(P112&lt;&gt;"","6 - LOI Signed",IF(O112&lt;&gt;"","5 - Mgmt Meeting",IF(L112&lt;&gt;"","4 - IOI Received",IF(K112&lt;&gt;"","3 - CIM Sent",IF(J112&lt;&gt;"","2 - NDA Signed",IF(I112&lt;&gt;"","1 - Teaser Sent","0 - Not Contacted")))))))))</f>
        <v>1 - Teaser Sent</v>
      </c>
      <c r="W112" s="39">
        <f>IF(COUNT(G112:T112)=0,"-",Dashboard!$I$6-MAX(G112:T112))</f>
        <v>140</v>
      </c>
      <c r="X112" s="40" t="s">
        <v>818</v>
      </c>
    </row>
    <row r="113" spans="1:24" ht="15" customHeight="1">
      <c r="A113" s="31" t="s">
        <v>525</v>
      </c>
      <c r="B113" s="32" t="s">
        <v>526</v>
      </c>
      <c r="C113" s="33" t="s">
        <v>79</v>
      </c>
      <c r="D113" s="33" t="s">
        <v>93</v>
      </c>
      <c r="E113" s="32" t="s">
        <v>527</v>
      </c>
      <c r="F113" s="32" t="s">
        <v>528</v>
      </c>
      <c r="G113" s="34">
        <v>46084</v>
      </c>
      <c r="H113" s="37"/>
      <c r="I113" s="34">
        <v>46084</v>
      </c>
      <c r="J113" s="37"/>
      <c r="K113" s="37"/>
      <c r="L113" s="37"/>
      <c r="M113" s="33"/>
      <c r="N113" s="33"/>
      <c r="O113" s="37"/>
      <c r="P113" s="37"/>
      <c r="Q113" s="37"/>
      <c r="R113" s="33"/>
      <c r="S113" s="37"/>
      <c r="T113" s="37"/>
      <c r="U113" s="38" t="s">
        <v>89</v>
      </c>
      <c r="V113" s="39" t="str">
        <f>IF(T113&lt;&gt;"","9 - Closed",IF(S113&lt;&gt;"","8 - Definitive Agreement",IF(Q113&lt;&gt;"","7 - Diligence",IF(P113&lt;&gt;"","6 - LOI Signed",IF(O113&lt;&gt;"","5 - Mgmt Meeting",IF(L113&lt;&gt;"","4 - IOI Received",IF(K113&lt;&gt;"","3 - CIM Sent",IF(J113&lt;&gt;"","2 - NDA Signed",IF(I113&lt;&gt;"","1 - Teaser Sent","0 - Not Contacted")))))))))</f>
        <v>1 - Teaser Sent</v>
      </c>
      <c r="W113" s="39">
        <f>IF(COUNT(G113:T113)=0,"-",Dashboard!$I$6-MAX(G113:T113))</f>
        <v>160</v>
      </c>
      <c r="X113" s="40" t="s">
        <v>818</v>
      </c>
    </row>
    <row r="114" spans="1:24" ht="15" customHeight="1">
      <c r="A114" s="31" t="s">
        <v>529</v>
      </c>
      <c r="B114" s="32" t="s">
        <v>530</v>
      </c>
      <c r="C114" s="33" t="s">
        <v>115</v>
      </c>
      <c r="D114" s="33" t="s">
        <v>80</v>
      </c>
      <c r="E114" s="32" t="s">
        <v>94</v>
      </c>
      <c r="F114" s="32" t="s">
        <v>531</v>
      </c>
      <c r="G114" s="34">
        <v>46093</v>
      </c>
      <c r="H114" s="37"/>
      <c r="I114" s="34">
        <v>46093</v>
      </c>
      <c r="J114" s="37"/>
      <c r="K114" s="37"/>
      <c r="L114" s="37"/>
      <c r="M114" s="33"/>
      <c r="N114" s="33"/>
      <c r="O114" s="37"/>
      <c r="P114" s="37"/>
      <c r="Q114" s="37"/>
      <c r="R114" s="33"/>
      <c r="S114" s="37"/>
      <c r="T114" s="37"/>
      <c r="U114" s="38" t="s">
        <v>190</v>
      </c>
      <c r="V114" s="39" t="str">
        <f>IF(T114&lt;&gt;"","9 - Closed",IF(S114&lt;&gt;"","8 - Definitive Agreement",IF(Q114&lt;&gt;"","7 - Diligence",IF(P114&lt;&gt;"","6 - LOI Signed",IF(O114&lt;&gt;"","5 - Mgmt Meeting",IF(L114&lt;&gt;"","4 - IOI Received",IF(K114&lt;&gt;"","3 - CIM Sent",IF(J114&lt;&gt;"","2 - NDA Signed",IF(I114&lt;&gt;"","1 - Teaser Sent","0 - Not Contacted")))))))))</f>
        <v>1 - Teaser Sent</v>
      </c>
      <c r="W114" s="39">
        <f>IF(COUNT(G114:T114)=0,"-",Dashboard!$I$6-MAX(G114:T114))</f>
        <v>151</v>
      </c>
      <c r="X114" s="40" t="s">
        <v>819</v>
      </c>
    </row>
    <row r="115" spans="1:24" ht="15" customHeight="1">
      <c r="A115" s="31" t="s">
        <v>532</v>
      </c>
      <c r="B115" s="32" t="s">
        <v>533</v>
      </c>
      <c r="C115" s="33" t="s">
        <v>115</v>
      </c>
      <c r="D115" s="33" t="s">
        <v>80</v>
      </c>
      <c r="E115" s="32" t="s">
        <v>534</v>
      </c>
      <c r="F115" s="32" t="s">
        <v>535</v>
      </c>
      <c r="G115" s="34">
        <v>46099</v>
      </c>
      <c r="H115" s="37"/>
      <c r="I115" s="34">
        <v>46099</v>
      </c>
      <c r="J115" s="37"/>
      <c r="K115" s="37"/>
      <c r="L115" s="37"/>
      <c r="M115" s="33"/>
      <c r="N115" s="33"/>
      <c r="O115" s="37"/>
      <c r="P115" s="37"/>
      <c r="Q115" s="37"/>
      <c r="R115" s="33"/>
      <c r="S115" s="37"/>
      <c r="T115" s="37"/>
      <c r="U115" s="38" t="s">
        <v>190</v>
      </c>
      <c r="V115" s="39" t="str">
        <f>IF(T115&lt;&gt;"","9 - Closed",IF(S115&lt;&gt;"","8 - Definitive Agreement",IF(Q115&lt;&gt;"","7 - Diligence",IF(P115&lt;&gt;"","6 - LOI Signed",IF(O115&lt;&gt;"","5 - Mgmt Meeting",IF(L115&lt;&gt;"","4 - IOI Received",IF(K115&lt;&gt;"","3 - CIM Sent",IF(J115&lt;&gt;"","2 - NDA Signed",IF(I115&lt;&gt;"","1 - Teaser Sent","0 - Not Contacted")))))))))</f>
        <v>1 - Teaser Sent</v>
      </c>
      <c r="W115" s="39">
        <f>IF(COUNT(G115:T115)=0,"-",Dashboard!$I$6-MAX(G115:T115))</f>
        <v>145</v>
      </c>
      <c r="X115" s="40" t="s">
        <v>819</v>
      </c>
    </row>
    <row r="116" spans="1:24" ht="15" customHeight="1">
      <c r="A116" s="31" t="s">
        <v>536</v>
      </c>
      <c r="B116" s="32" t="s">
        <v>537</v>
      </c>
      <c r="C116" s="33" t="s">
        <v>115</v>
      </c>
      <c r="D116" s="33" t="s">
        <v>93</v>
      </c>
      <c r="E116" s="32" t="s">
        <v>538</v>
      </c>
      <c r="F116" s="32" t="s">
        <v>539</v>
      </c>
      <c r="G116" s="34">
        <v>46100</v>
      </c>
      <c r="H116" s="37"/>
      <c r="I116" s="34">
        <v>46100</v>
      </c>
      <c r="J116" s="37"/>
      <c r="K116" s="37"/>
      <c r="L116" s="37"/>
      <c r="M116" s="33"/>
      <c r="N116" s="33"/>
      <c r="O116" s="37"/>
      <c r="P116" s="37"/>
      <c r="Q116" s="37"/>
      <c r="R116" s="33"/>
      <c r="S116" s="37"/>
      <c r="T116" s="37"/>
      <c r="U116" s="38" t="s">
        <v>190</v>
      </c>
      <c r="V116" s="39" t="str">
        <f>IF(T116&lt;&gt;"","9 - Closed",IF(S116&lt;&gt;"","8 - Definitive Agreement",IF(Q116&lt;&gt;"","7 - Diligence",IF(P116&lt;&gt;"","6 - LOI Signed",IF(O116&lt;&gt;"","5 - Mgmt Meeting",IF(L116&lt;&gt;"","4 - IOI Received",IF(K116&lt;&gt;"","3 - CIM Sent",IF(J116&lt;&gt;"","2 - NDA Signed",IF(I116&lt;&gt;"","1 - Teaser Sent","0 - Not Contacted")))))))))</f>
        <v>1 - Teaser Sent</v>
      </c>
      <c r="W116" s="39">
        <f>IF(COUNT(G116:T116)=0,"-",Dashboard!$I$6-MAX(G116:T116))</f>
        <v>144</v>
      </c>
      <c r="X116" s="40" t="s">
        <v>819</v>
      </c>
    </row>
    <row r="117" spans="1:24" ht="15" customHeight="1">
      <c r="A117" s="31" t="s">
        <v>540</v>
      </c>
      <c r="B117" s="32" t="s">
        <v>541</v>
      </c>
      <c r="C117" s="33" t="s">
        <v>79</v>
      </c>
      <c r="D117" s="33" t="s">
        <v>106</v>
      </c>
      <c r="E117" s="32" t="s">
        <v>542</v>
      </c>
      <c r="F117" s="32" t="s">
        <v>543</v>
      </c>
      <c r="G117" s="34">
        <v>46099</v>
      </c>
      <c r="H117" s="37"/>
      <c r="I117" s="34">
        <v>46099</v>
      </c>
      <c r="J117" s="37"/>
      <c r="K117" s="37"/>
      <c r="L117" s="37"/>
      <c r="M117" s="33"/>
      <c r="N117" s="33"/>
      <c r="O117" s="37"/>
      <c r="P117" s="37"/>
      <c r="Q117" s="37"/>
      <c r="R117" s="33"/>
      <c r="S117" s="37"/>
      <c r="T117" s="37"/>
      <c r="U117" s="38" t="s">
        <v>190</v>
      </c>
      <c r="V117" s="39" t="str">
        <f>IF(T117&lt;&gt;"","9 - Closed",IF(S117&lt;&gt;"","8 - Definitive Agreement",IF(Q117&lt;&gt;"","7 - Diligence",IF(P117&lt;&gt;"","6 - LOI Signed",IF(O117&lt;&gt;"","5 - Mgmt Meeting",IF(L117&lt;&gt;"","4 - IOI Received",IF(K117&lt;&gt;"","3 - CIM Sent",IF(J117&lt;&gt;"","2 - NDA Signed",IF(I117&lt;&gt;"","1 - Teaser Sent","0 - Not Contacted")))))))))</f>
        <v>1 - Teaser Sent</v>
      </c>
      <c r="W117" s="39">
        <f>IF(COUNT(G117:T117)=0,"-",Dashboard!$I$6-MAX(G117:T117))</f>
        <v>145</v>
      </c>
      <c r="X117" s="40" t="s">
        <v>819</v>
      </c>
    </row>
    <row r="118" spans="1:24" ht="15" customHeight="1">
      <c r="A118" s="31" t="s">
        <v>544</v>
      </c>
      <c r="B118" s="32" t="s">
        <v>545</v>
      </c>
      <c r="C118" s="33" t="s">
        <v>79</v>
      </c>
      <c r="D118" s="33" t="s">
        <v>93</v>
      </c>
      <c r="E118" s="32" t="s">
        <v>546</v>
      </c>
      <c r="F118" s="32" t="s">
        <v>547</v>
      </c>
      <c r="G118" s="34">
        <v>46103</v>
      </c>
      <c r="H118" s="37"/>
      <c r="I118" s="34">
        <v>46103</v>
      </c>
      <c r="J118" s="37"/>
      <c r="K118" s="37"/>
      <c r="L118" s="37"/>
      <c r="M118" s="33"/>
      <c r="N118" s="33"/>
      <c r="O118" s="37"/>
      <c r="P118" s="37"/>
      <c r="Q118" s="37"/>
      <c r="R118" s="33"/>
      <c r="S118" s="37"/>
      <c r="T118" s="37"/>
      <c r="U118" s="38" t="s">
        <v>190</v>
      </c>
      <c r="V118" s="39" t="str">
        <f>IF(T118&lt;&gt;"","9 - Closed",IF(S118&lt;&gt;"","8 - Definitive Agreement",IF(Q118&lt;&gt;"","7 - Diligence",IF(P118&lt;&gt;"","6 - LOI Signed",IF(O118&lt;&gt;"","5 - Mgmt Meeting",IF(L118&lt;&gt;"","4 - IOI Received",IF(K118&lt;&gt;"","3 - CIM Sent",IF(J118&lt;&gt;"","2 - NDA Signed",IF(I118&lt;&gt;"","1 - Teaser Sent","0 - Not Contacted")))))))))</f>
        <v>1 - Teaser Sent</v>
      </c>
      <c r="W118" s="39">
        <f>IF(COUNT(G118:T118)=0,"-",Dashboard!$I$6-MAX(G118:T118))</f>
        <v>141</v>
      </c>
      <c r="X118" s="40" t="s">
        <v>819</v>
      </c>
    </row>
    <row r="119" spans="1:24" ht="15" customHeight="1">
      <c r="A119" s="31" t="s">
        <v>548</v>
      </c>
      <c r="B119" s="32" t="s">
        <v>549</v>
      </c>
      <c r="C119" s="33" t="s">
        <v>79</v>
      </c>
      <c r="D119" s="33" t="s">
        <v>106</v>
      </c>
      <c r="E119" s="32" t="s">
        <v>550</v>
      </c>
      <c r="F119" s="32" t="s">
        <v>551</v>
      </c>
      <c r="G119" s="34">
        <v>46091</v>
      </c>
      <c r="H119" s="37"/>
      <c r="I119" s="34">
        <v>46091</v>
      </c>
      <c r="J119" s="37"/>
      <c r="K119" s="37"/>
      <c r="L119" s="37"/>
      <c r="M119" s="33"/>
      <c r="N119" s="33"/>
      <c r="O119" s="37"/>
      <c r="P119" s="37"/>
      <c r="Q119" s="37"/>
      <c r="R119" s="33"/>
      <c r="S119" s="37"/>
      <c r="T119" s="37"/>
      <c r="U119" s="38" t="s">
        <v>89</v>
      </c>
      <c r="V119" s="39" t="str">
        <f>IF(T119&lt;&gt;"","9 - Closed",IF(S119&lt;&gt;"","8 - Definitive Agreement",IF(Q119&lt;&gt;"","7 - Diligence",IF(P119&lt;&gt;"","6 - LOI Signed",IF(O119&lt;&gt;"","5 - Mgmt Meeting",IF(L119&lt;&gt;"","4 - IOI Received",IF(K119&lt;&gt;"","3 - CIM Sent",IF(J119&lt;&gt;"","2 - NDA Signed",IF(I119&lt;&gt;"","1 - Teaser Sent","0 - Not Contacted")))))))))</f>
        <v>1 - Teaser Sent</v>
      </c>
      <c r="W119" s="39">
        <f>IF(COUNT(G119:T119)=0,"-",Dashboard!$I$6-MAX(G119:T119))</f>
        <v>153</v>
      </c>
      <c r="X119" s="40" t="s">
        <v>818</v>
      </c>
    </row>
    <row r="120" spans="1:24" ht="15" customHeight="1">
      <c r="A120" s="31" t="s">
        <v>552</v>
      </c>
      <c r="B120" s="32" t="s">
        <v>553</v>
      </c>
      <c r="C120" s="33" t="s">
        <v>79</v>
      </c>
      <c r="D120" s="33" t="s">
        <v>93</v>
      </c>
      <c r="E120" s="32" t="s">
        <v>554</v>
      </c>
      <c r="F120" s="32" t="s">
        <v>555</v>
      </c>
      <c r="G120" s="34">
        <v>46097</v>
      </c>
      <c r="H120" s="37"/>
      <c r="I120" s="34">
        <v>46097</v>
      </c>
      <c r="J120" s="37"/>
      <c r="K120" s="37"/>
      <c r="L120" s="37"/>
      <c r="M120" s="33"/>
      <c r="N120" s="33"/>
      <c r="O120" s="37"/>
      <c r="P120" s="37"/>
      <c r="Q120" s="37"/>
      <c r="R120" s="33"/>
      <c r="S120" s="37"/>
      <c r="T120" s="37"/>
      <c r="U120" s="38" t="s">
        <v>190</v>
      </c>
      <c r="V120" s="39" t="str">
        <f>IF(T120&lt;&gt;"","9 - Closed",IF(S120&lt;&gt;"","8 - Definitive Agreement",IF(Q120&lt;&gt;"","7 - Diligence",IF(P120&lt;&gt;"","6 - LOI Signed",IF(O120&lt;&gt;"","5 - Mgmt Meeting",IF(L120&lt;&gt;"","4 - IOI Received",IF(K120&lt;&gt;"","3 - CIM Sent",IF(J120&lt;&gt;"","2 - NDA Signed",IF(I120&lt;&gt;"","1 - Teaser Sent","0 - Not Contacted")))))))))</f>
        <v>1 - Teaser Sent</v>
      </c>
      <c r="W120" s="39">
        <f>IF(COUNT(G120:T120)=0,"-",Dashboard!$I$6-MAX(G120:T120))</f>
        <v>147</v>
      </c>
      <c r="X120" s="40" t="s">
        <v>819</v>
      </c>
    </row>
    <row r="121" spans="1:24" ht="15" customHeight="1">
      <c r="A121" s="31" t="s">
        <v>556</v>
      </c>
      <c r="B121" s="32" t="s">
        <v>557</v>
      </c>
      <c r="C121" s="33" t="s">
        <v>115</v>
      </c>
      <c r="D121" s="33" t="s">
        <v>80</v>
      </c>
      <c r="E121" s="32" t="s">
        <v>558</v>
      </c>
      <c r="F121" s="32" t="s">
        <v>559</v>
      </c>
      <c r="G121" s="34">
        <v>46083</v>
      </c>
      <c r="H121" s="37"/>
      <c r="I121" s="34">
        <v>46083</v>
      </c>
      <c r="J121" s="37"/>
      <c r="K121" s="37"/>
      <c r="L121" s="37"/>
      <c r="M121" s="33"/>
      <c r="N121" s="33"/>
      <c r="O121" s="37"/>
      <c r="P121" s="37"/>
      <c r="Q121" s="37"/>
      <c r="R121" s="33"/>
      <c r="S121" s="37"/>
      <c r="T121" s="37"/>
      <c r="U121" s="38" t="s">
        <v>89</v>
      </c>
      <c r="V121" s="39" t="str">
        <f>IF(T121&lt;&gt;"","9 - Closed",IF(S121&lt;&gt;"","8 - Definitive Agreement",IF(Q121&lt;&gt;"","7 - Diligence",IF(P121&lt;&gt;"","6 - LOI Signed",IF(O121&lt;&gt;"","5 - Mgmt Meeting",IF(L121&lt;&gt;"","4 - IOI Received",IF(K121&lt;&gt;"","3 - CIM Sent",IF(J121&lt;&gt;"","2 - NDA Signed",IF(I121&lt;&gt;"","1 - Teaser Sent","0 - Not Contacted")))))))))</f>
        <v>1 - Teaser Sent</v>
      </c>
      <c r="W121" s="39">
        <f>IF(COUNT(G121:T121)=0,"-",Dashboard!$I$6-MAX(G121:T121))</f>
        <v>161</v>
      </c>
      <c r="X121" s="40" t="s">
        <v>818</v>
      </c>
    </row>
    <row r="122" spans="1:24" ht="15" customHeight="1">
      <c r="A122" s="31" t="s">
        <v>560</v>
      </c>
      <c r="B122" s="32" t="s">
        <v>561</v>
      </c>
      <c r="C122" s="33" t="s">
        <v>79</v>
      </c>
      <c r="D122" s="33" t="s">
        <v>93</v>
      </c>
      <c r="E122" s="32" t="s">
        <v>562</v>
      </c>
      <c r="F122" s="32" t="s">
        <v>563</v>
      </c>
      <c r="G122" s="34">
        <v>46105</v>
      </c>
      <c r="H122" s="37"/>
      <c r="I122" s="34">
        <v>46105</v>
      </c>
      <c r="J122" s="37"/>
      <c r="K122" s="37"/>
      <c r="L122" s="37"/>
      <c r="M122" s="33"/>
      <c r="N122" s="33"/>
      <c r="O122" s="37"/>
      <c r="P122" s="37"/>
      <c r="Q122" s="37"/>
      <c r="R122" s="33"/>
      <c r="S122" s="37"/>
      <c r="T122" s="37"/>
      <c r="U122" s="38" t="s">
        <v>89</v>
      </c>
      <c r="V122" s="39" t="str">
        <f>IF(T122&lt;&gt;"","9 - Closed",IF(S122&lt;&gt;"","8 - Definitive Agreement",IF(Q122&lt;&gt;"","7 - Diligence",IF(P122&lt;&gt;"","6 - LOI Signed",IF(O122&lt;&gt;"","5 - Mgmt Meeting",IF(L122&lt;&gt;"","4 - IOI Received",IF(K122&lt;&gt;"","3 - CIM Sent",IF(J122&lt;&gt;"","2 - NDA Signed",IF(I122&lt;&gt;"","1 - Teaser Sent","0 - Not Contacted")))))))))</f>
        <v>1 - Teaser Sent</v>
      </c>
      <c r="W122" s="39">
        <f>IF(COUNT(G122:T122)=0,"-",Dashboard!$I$6-MAX(G122:T122))</f>
        <v>139</v>
      </c>
      <c r="X122" s="40" t="s">
        <v>818</v>
      </c>
    </row>
    <row r="123" spans="1:24" ht="15" customHeight="1">
      <c r="A123" s="31" t="s">
        <v>564</v>
      </c>
      <c r="B123" s="32" t="s">
        <v>565</v>
      </c>
      <c r="C123" s="33" t="s">
        <v>115</v>
      </c>
      <c r="D123" s="33" t="s">
        <v>80</v>
      </c>
      <c r="E123" s="32" t="s">
        <v>366</v>
      </c>
      <c r="F123" s="32" t="s">
        <v>566</v>
      </c>
      <c r="G123" s="34">
        <v>46100</v>
      </c>
      <c r="H123" s="37"/>
      <c r="I123" s="34">
        <v>46100</v>
      </c>
      <c r="J123" s="37"/>
      <c r="K123" s="37"/>
      <c r="L123" s="37"/>
      <c r="M123" s="33"/>
      <c r="N123" s="33"/>
      <c r="O123" s="37"/>
      <c r="P123" s="37"/>
      <c r="Q123" s="37"/>
      <c r="R123" s="33"/>
      <c r="S123" s="37"/>
      <c r="T123" s="37"/>
      <c r="U123" s="38" t="s">
        <v>190</v>
      </c>
      <c r="V123" s="39" t="str">
        <f>IF(T123&lt;&gt;"","9 - Closed",IF(S123&lt;&gt;"","8 - Definitive Agreement",IF(Q123&lt;&gt;"","7 - Diligence",IF(P123&lt;&gt;"","6 - LOI Signed",IF(O123&lt;&gt;"","5 - Mgmt Meeting",IF(L123&lt;&gt;"","4 - IOI Received",IF(K123&lt;&gt;"","3 - CIM Sent",IF(J123&lt;&gt;"","2 - NDA Signed",IF(I123&lt;&gt;"","1 - Teaser Sent","0 - Not Contacted")))))))))</f>
        <v>1 - Teaser Sent</v>
      </c>
      <c r="W123" s="39">
        <f>IF(COUNT(G123:T123)=0,"-",Dashboard!$I$6-MAX(G123:T123))</f>
        <v>144</v>
      </c>
      <c r="X123" s="40" t="s">
        <v>819</v>
      </c>
    </row>
    <row r="124" spans="1:24" ht="15" customHeight="1">
      <c r="A124" s="31" t="s">
        <v>567</v>
      </c>
      <c r="B124" s="32" t="s">
        <v>568</v>
      </c>
      <c r="C124" s="33" t="s">
        <v>79</v>
      </c>
      <c r="D124" s="33" t="s">
        <v>80</v>
      </c>
      <c r="E124" s="32" t="s">
        <v>569</v>
      </c>
      <c r="F124" s="32" t="s">
        <v>570</v>
      </c>
      <c r="G124" s="34">
        <v>46086</v>
      </c>
      <c r="H124" s="37"/>
      <c r="I124" s="34">
        <v>46086</v>
      </c>
      <c r="J124" s="37"/>
      <c r="K124" s="37"/>
      <c r="L124" s="37"/>
      <c r="M124" s="33"/>
      <c r="N124" s="33"/>
      <c r="O124" s="37"/>
      <c r="P124" s="37"/>
      <c r="Q124" s="37"/>
      <c r="R124" s="33"/>
      <c r="S124" s="37"/>
      <c r="T124" s="37"/>
      <c r="U124" s="38" t="s">
        <v>190</v>
      </c>
      <c r="V124" s="39" t="str">
        <f>IF(T124&lt;&gt;"","9 - Closed",IF(S124&lt;&gt;"","8 - Definitive Agreement",IF(Q124&lt;&gt;"","7 - Diligence",IF(P124&lt;&gt;"","6 - LOI Signed",IF(O124&lt;&gt;"","5 - Mgmt Meeting",IF(L124&lt;&gt;"","4 - IOI Received",IF(K124&lt;&gt;"","3 - CIM Sent",IF(J124&lt;&gt;"","2 - NDA Signed",IF(I124&lt;&gt;"","1 - Teaser Sent","0 - Not Contacted")))))))))</f>
        <v>1 - Teaser Sent</v>
      </c>
      <c r="W124" s="39">
        <f>IF(COUNT(G124:T124)=0,"-",Dashboard!$I$6-MAX(G124:T124))</f>
        <v>158</v>
      </c>
      <c r="X124" s="40" t="s">
        <v>819</v>
      </c>
    </row>
    <row r="125" spans="1:24" ht="15" customHeight="1">
      <c r="A125" s="31" t="s">
        <v>571</v>
      </c>
      <c r="B125" s="32" t="s">
        <v>572</v>
      </c>
      <c r="C125" s="33" t="s">
        <v>115</v>
      </c>
      <c r="D125" s="33" t="s">
        <v>80</v>
      </c>
      <c r="E125" s="32" t="s">
        <v>573</v>
      </c>
      <c r="F125" s="32" t="s">
        <v>574</v>
      </c>
      <c r="G125" s="34">
        <v>46087</v>
      </c>
      <c r="H125" s="37"/>
      <c r="I125" s="34">
        <v>46087</v>
      </c>
      <c r="J125" s="37"/>
      <c r="K125" s="37"/>
      <c r="L125" s="37"/>
      <c r="M125" s="33"/>
      <c r="N125" s="33"/>
      <c r="O125" s="37"/>
      <c r="P125" s="37"/>
      <c r="Q125" s="37"/>
      <c r="R125" s="33"/>
      <c r="S125" s="37"/>
      <c r="T125" s="37"/>
      <c r="U125" s="38" t="s">
        <v>89</v>
      </c>
      <c r="V125" s="39" t="str">
        <f>IF(T125&lt;&gt;"","9 - Closed",IF(S125&lt;&gt;"","8 - Definitive Agreement",IF(Q125&lt;&gt;"","7 - Diligence",IF(P125&lt;&gt;"","6 - LOI Signed",IF(O125&lt;&gt;"","5 - Mgmt Meeting",IF(L125&lt;&gt;"","4 - IOI Received",IF(K125&lt;&gt;"","3 - CIM Sent",IF(J125&lt;&gt;"","2 - NDA Signed",IF(I125&lt;&gt;"","1 - Teaser Sent","0 - Not Contacted")))))))))</f>
        <v>1 - Teaser Sent</v>
      </c>
      <c r="W125" s="39">
        <f>IF(COUNT(G125:T125)=0,"-",Dashboard!$I$6-MAX(G125:T125))</f>
        <v>157</v>
      </c>
      <c r="X125" s="40" t="s">
        <v>818</v>
      </c>
    </row>
    <row r="126" spans="1:24" ht="15" customHeight="1">
      <c r="A126" s="41" t="s">
        <v>575</v>
      </c>
      <c r="B126" s="42" t="s">
        <v>576</v>
      </c>
      <c r="C126" s="43" t="s">
        <v>115</v>
      </c>
      <c r="D126" s="43" t="s">
        <v>106</v>
      </c>
      <c r="E126" s="44"/>
      <c r="F126" s="44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6" t="s">
        <v>577</v>
      </c>
      <c r="V126" s="46" t="str">
        <f>IF(T126&lt;&gt;"","9 - Closed",IF(S126&lt;&gt;"","8 - Definitive Agreement",IF(Q126&lt;&gt;"","7 - Diligence",IF(P126&lt;&gt;"","6 - LOI Signed",IF(O126&lt;&gt;"","5 - Mgmt Meeting",IF(L126&lt;&gt;"","4 - IOI Received",IF(K126&lt;&gt;"","3 - CIM Sent",IF(J126&lt;&gt;"","2 - NDA Signed",IF(I126&lt;&gt;"","1 - Teaser Sent","0 - Not Contacted")))))))))</f>
        <v>0 - Not Contacted</v>
      </c>
      <c r="W126" s="47" t="str">
        <f>IF(COUNT(G126:T126)=0,"-",Dashboard!$I$6-MAX(G126:T126))</f>
        <v>-</v>
      </c>
      <c r="X126" s="48" t="s">
        <v>578</v>
      </c>
    </row>
    <row r="127" spans="1:24" ht="15" customHeight="1">
      <c r="A127" s="49" t="s">
        <v>579</v>
      </c>
      <c r="B127" s="50" t="s">
        <v>580</v>
      </c>
      <c r="C127" s="51" t="s">
        <v>115</v>
      </c>
      <c r="D127" s="51" t="s">
        <v>106</v>
      </c>
      <c r="E127" s="52"/>
      <c r="F127" s="52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4" t="s">
        <v>577</v>
      </c>
      <c r="V127" s="54" t="str">
        <f>IF(T127&lt;&gt;"","9 - Closed",IF(S127&lt;&gt;"","8 - Definitive Agreement",IF(Q127&lt;&gt;"","7 - Diligence",IF(P127&lt;&gt;"","6 - LOI Signed",IF(O127&lt;&gt;"","5 - Mgmt Meeting",IF(L127&lt;&gt;"","4 - IOI Received",IF(K127&lt;&gt;"","3 - CIM Sent",IF(J127&lt;&gt;"","2 - NDA Signed",IF(I127&lt;&gt;"","1 - Teaser Sent","0 - Not Contacted")))))))))</f>
        <v>0 - Not Contacted</v>
      </c>
      <c r="W127" s="55" t="str">
        <f>IF(COUNT(G127:T127)=0,"-",Dashboard!$I$6-MAX(G127:T127))</f>
        <v>-</v>
      </c>
      <c r="X127" s="56" t="s">
        <v>581</v>
      </c>
    </row>
    <row r="128" spans="1:24" ht="15" customHeight="1">
      <c r="A128" s="41" t="s">
        <v>582</v>
      </c>
      <c r="B128" s="42" t="s">
        <v>583</v>
      </c>
      <c r="C128" s="43" t="s">
        <v>115</v>
      </c>
      <c r="D128" s="43" t="s">
        <v>106</v>
      </c>
      <c r="E128" s="44"/>
      <c r="F128" s="44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6" t="s">
        <v>577</v>
      </c>
      <c r="V128" s="46" t="str">
        <f>IF(T128&lt;&gt;"","9 - Closed",IF(S128&lt;&gt;"","8 - Definitive Agreement",IF(Q128&lt;&gt;"","7 - Diligence",IF(P128&lt;&gt;"","6 - LOI Signed",IF(O128&lt;&gt;"","5 - Mgmt Meeting",IF(L128&lt;&gt;"","4 - IOI Received",IF(K128&lt;&gt;"","3 - CIM Sent",IF(J128&lt;&gt;"","2 - NDA Signed",IF(I128&lt;&gt;"","1 - Teaser Sent","0 - Not Contacted")))))))))</f>
        <v>0 - Not Contacted</v>
      </c>
      <c r="W128" s="47" t="str">
        <f>IF(COUNT(G128:T128)=0,"-",Dashboard!$I$6-MAX(G128:T128))</f>
        <v>-</v>
      </c>
      <c r="X128" s="48" t="s">
        <v>584</v>
      </c>
    </row>
    <row r="129" spans="1:24" ht="15" customHeight="1">
      <c r="A129" s="49" t="s">
        <v>585</v>
      </c>
      <c r="B129" s="50" t="s">
        <v>586</v>
      </c>
      <c r="C129" s="51" t="s">
        <v>115</v>
      </c>
      <c r="D129" s="51" t="s">
        <v>106</v>
      </c>
      <c r="E129" s="52"/>
      <c r="F129" s="52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4" t="s">
        <v>577</v>
      </c>
      <c r="V129" s="54" t="str">
        <f>IF(T129&lt;&gt;"","9 - Closed",IF(S129&lt;&gt;"","8 - Definitive Agreement",IF(Q129&lt;&gt;"","7 - Diligence",IF(P129&lt;&gt;"","6 - LOI Signed",IF(O129&lt;&gt;"","5 - Mgmt Meeting",IF(L129&lt;&gt;"","4 - IOI Received",IF(K129&lt;&gt;"","3 - CIM Sent",IF(J129&lt;&gt;"","2 - NDA Signed",IF(I129&lt;&gt;"","1 - Teaser Sent","0 - Not Contacted")))))))))</f>
        <v>0 - Not Contacted</v>
      </c>
      <c r="W129" s="55" t="str">
        <f>IF(COUNT(G129:T129)=0,"-",Dashboard!$I$6-MAX(G129:T129))</f>
        <v>-</v>
      </c>
      <c r="X129" s="56" t="s">
        <v>587</v>
      </c>
    </row>
    <row r="130" spans="1:24" ht="15" customHeight="1">
      <c r="A130" s="41" t="s">
        <v>588</v>
      </c>
      <c r="B130" s="42" t="s">
        <v>589</v>
      </c>
      <c r="C130" s="43" t="s">
        <v>115</v>
      </c>
      <c r="D130" s="43" t="s">
        <v>106</v>
      </c>
      <c r="E130" s="44"/>
      <c r="F130" s="44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6" t="s">
        <v>577</v>
      </c>
      <c r="V130" s="46" t="str">
        <f>IF(T130&lt;&gt;"","9 - Closed",IF(S130&lt;&gt;"","8 - Definitive Agreement",IF(Q130&lt;&gt;"","7 - Diligence",IF(P130&lt;&gt;"","6 - LOI Signed",IF(O130&lt;&gt;"","5 - Mgmt Meeting",IF(L130&lt;&gt;"","4 - IOI Received",IF(K130&lt;&gt;"","3 - CIM Sent",IF(J130&lt;&gt;"","2 - NDA Signed",IF(I130&lt;&gt;"","1 - Teaser Sent","0 - Not Contacted")))))))))</f>
        <v>0 - Not Contacted</v>
      </c>
      <c r="W130" s="47" t="str">
        <f>IF(COUNT(G130:T130)=0,"-",Dashboard!$I$6-MAX(G130:T130))</f>
        <v>-</v>
      </c>
      <c r="X130" s="48" t="s">
        <v>590</v>
      </c>
    </row>
    <row r="131" spans="1:24" ht="15" customHeight="1">
      <c r="A131" s="49" t="s">
        <v>591</v>
      </c>
      <c r="B131" s="50" t="s">
        <v>592</v>
      </c>
      <c r="C131" s="51" t="s">
        <v>115</v>
      </c>
      <c r="D131" s="51" t="s">
        <v>106</v>
      </c>
      <c r="E131" s="52"/>
      <c r="F131" s="52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4" t="s">
        <v>577</v>
      </c>
      <c r="V131" s="54" t="str">
        <f>IF(T131&lt;&gt;"","9 - Closed",IF(S131&lt;&gt;"","8 - Definitive Agreement",IF(Q131&lt;&gt;"","7 - Diligence",IF(P131&lt;&gt;"","6 - LOI Signed",IF(O131&lt;&gt;"","5 - Mgmt Meeting",IF(L131&lt;&gt;"","4 - IOI Received",IF(K131&lt;&gt;"","3 - CIM Sent",IF(J131&lt;&gt;"","2 - NDA Signed",IF(I131&lt;&gt;"","1 - Teaser Sent","0 - Not Contacted")))))))))</f>
        <v>0 - Not Contacted</v>
      </c>
      <c r="W131" s="55" t="str">
        <f>IF(COUNT(G131:T131)=0,"-",Dashboard!$I$6-MAX(G131:T131))</f>
        <v>-</v>
      </c>
      <c r="X131" s="56" t="s">
        <v>593</v>
      </c>
    </row>
    <row r="132" spans="1:24" ht="15" customHeight="1">
      <c r="A132" s="41" t="s">
        <v>594</v>
      </c>
      <c r="B132" s="42" t="s">
        <v>595</v>
      </c>
      <c r="C132" s="43" t="s">
        <v>115</v>
      </c>
      <c r="D132" s="43" t="s">
        <v>106</v>
      </c>
      <c r="E132" s="44"/>
      <c r="F132" s="44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6" t="s">
        <v>577</v>
      </c>
      <c r="V132" s="46" t="str">
        <f>IF(T132&lt;&gt;"","9 - Closed",IF(S132&lt;&gt;"","8 - Definitive Agreement",IF(Q132&lt;&gt;"","7 - Diligence",IF(P132&lt;&gt;"","6 - LOI Signed",IF(O132&lt;&gt;"","5 - Mgmt Meeting",IF(L132&lt;&gt;"","4 - IOI Received",IF(K132&lt;&gt;"","3 - CIM Sent",IF(J132&lt;&gt;"","2 - NDA Signed",IF(I132&lt;&gt;"","1 - Teaser Sent","0 - Not Contacted")))))))))</f>
        <v>0 - Not Contacted</v>
      </c>
      <c r="W132" s="47" t="str">
        <f>IF(COUNT(G132:T132)=0,"-",Dashboard!$I$6-MAX(G132:T132))</f>
        <v>-</v>
      </c>
      <c r="X132" s="48" t="s">
        <v>596</v>
      </c>
    </row>
    <row r="133" spans="1:24" ht="15" customHeight="1">
      <c r="A133" s="49" t="s">
        <v>597</v>
      </c>
      <c r="B133" s="50" t="s">
        <v>598</v>
      </c>
      <c r="C133" s="51" t="s">
        <v>115</v>
      </c>
      <c r="D133" s="51" t="s">
        <v>106</v>
      </c>
      <c r="E133" s="52"/>
      <c r="F133" s="52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4" t="s">
        <v>577</v>
      </c>
      <c r="V133" s="54" t="str">
        <f>IF(T133&lt;&gt;"","9 - Closed",IF(S133&lt;&gt;"","8 - Definitive Agreement",IF(Q133&lt;&gt;"","7 - Diligence",IF(P133&lt;&gt;"","6 - LOI Signed",IF(O133&lt;&gt;"","5 - Mgmt Meeting",IF(L133&lt;&gt;"","4 - IOI Received",IF(K133&lt;&gt;"","3 - CIM Sent",IF(J133&lt;&gt;"","2 - NDA Signed",IF(I133&lt;&gt;"","1 - Teaser Sent","0 - Not Contacted")))))))))</f>
        <v>0 - Not Contacted</v>
      </c>
      <c r="W133" s="55" t="str">
        <f>IF(COUNT(G133:T133)=0,"-",Dashboard!$I$6-MAX(G133:T133))</f>
        <v>-</v>
      </c>
      <c r="X133" s="56" t="s">
        <v>599</v>
      </c>
    </row>
    <row r="134" spans="1:24" ht="15" customHeight="1">
      <c r="A134" s="41" t="s">
        <v>600</v>
      </c>
      <c r="B134" s="42" t="s">
        <v>601</v>
      </c>
      <c r="C134" s="43" t="s">
        <v>115</v>
      </c>
      <c r="D134" s="43" t="s">
        <v>106</v>
      </c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6" t="s">
        <v>577</v>
      </c>
      <c r="V134" s="46" t="str">
        <f>IF(T134&lt;&gt;"","9 - Closed",IF(S134&lt;&gt;"","8 - Definitive Agreement",IF(Q134&lt;&gt;"","7 - Diligence",IF(P134&lt;&gt;"","6 - LOI Signed",IF(O134&lt;&gt;"","5 - Mgmt Meeting",IF(L134&lt;&gt;"","4 - IOI Received",IF(K134&lt;&gt;"","3 - CIM Sent",IF(J134&lt;&gt;"","2 - NDA Signed",IF(I134&lt;&gt;"","1 - Teaser Sent","0 - Not Contacted")))))))))</f>
        <v>0 - Not Contacted</v>
      </c>
      <c r="W134" s="47" t="str">
        <f>IF(COUNT(G134:T134)=0,"-",Dashboard!$I$6-MAX(G134:T134))</f>
        <v>-</v>
      </c>
      <c r="X134" s="48" t="s">
        <v>602</v>
      </c>
    </row>
    <row r="135" spans="1:24" ht="15" customHeight="1">
      <c r="A135" s="49" t="s">
        <v>603</v>
      </c>
      <c r="B135" s="50" t="s">
        <v>604</v>
      </c>
      <c r="C135" s="51" t="s">
        <v>79</v>
      </c>
      <c r="D135" s="51" t="s">
        <v>106</v>
      </c>
      <c r="E135" s="52"/>
      <c r="F135" s="52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4" t="s">
        <v>577</v>
      </c>
      <c r="V135" s="54" t="str">
        <f>IF(T135&lt;&gt;"","9 - Closed",IF(S135&lt;&gt;"","8 - Definitive Agreement",IF(Q135&lt;&gt;"","7 - Diligence",IF(P135&lt;&gt;"","6 - LOI Signed",IF(O135&lt;&gt;"","5 - Mgmt Meeting",IF(L135&lt;&gt;"","4 - IOI Received",IF(K135&lt;&gt;"","3 - CIM Sent",IF(J135&lt;&gt;"","2 - NDA Signed",IF(I135&lt;&gt;"","1 - Teaser Sent","0 - Not Contacted")))))))))</f>
        <v>0 - Not Contacted</v>
      </c>
      <c r="W135" s="55" t="str">
        <f>IF(COUNT(G135:T135)=0,"-",Dashboard!$I$6-MAX(G135:T135))</f>
        <v>-</v>
      </c>
      <c r="X135" s="56" t="s">
        <v>605</v>
      </c>
    </row>
    <row r="136" spans="1:24" ht="15" customHeight="1">
      <c r="A136" s="41" t="s">
        <v>606</v>
      </c>
      <c r="B136" s="42" t="s">
        <v>607</v>
      </c>
      <c r="C136" s="43" t="s">
        <v>79</v>
      </c>
      <c r="D136" s="43" t="s">
        <v>106</v>
      </c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6" t="s">
        <v>577</v>
      </c>
      <c r="V136" s="46" t="str">
        <f>IF(T136&lt;&gt;"","9 - Closed",IF(S136&lt;&gt;"","8 - Definitive Agreement",IF(Q136&lt;&gt;"","7 - Diligence",IF(P136&lt;&gt;"","6 - LOI Signed",IF(O136&lt;&gt;"","5 - Mgmt Meeting",IF(L136&lt;&gt;"","4 - IOI Received",IF(K136&lt;&gt;"","3 - CIM Sent",IF(J136&lt;&gt;"","2 - NDA Signed",IF(I136&lt;&gt;"","1 - Teaser Sent","0 - Not Contacted")))))))))</f>
        <v>0 - Not Contacted</v>
      </c>
      <c r="W136" s="47" t="str">
        <f>IF(COUNT(G136:T136)=0,"-",Dashboard!$I$6-MAX(G136:T136))</f>
        <v>-</v>
      </c>
      <c r="X136" s="48" t="s">
        <v>608</v>
      </c>
    </row>
    <row r="137" spans="1:24" ht="15" customHeight="1">
      <c r="A137" s="49" t="s">
        <v>609</v>
      </c>
      <c r="B137" s="50" t="s">
        <v>610</v>
      </c>
      <c r="C137" s="51" t="s">
        <v>79</v>
      </c>
      <c r="D137" s="51" t="s">
        <v>80</v>
      </c>
      <c r="E137" s="52"/>
      <c r="F137" s="52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4" t="s">
        <v>577</v>
      </c>
      <c r="V137" s="54" t="str">
        <f>IF(T137&lt;&gt;"","9 - Closed",IF(S137&lt;&gt;"","8 - Definitive Agreement",IF(Q137&lt;&gt;"","7 - Diligence",IF(P137&lt;&gt;"","6 - LOI Signed",IF(O137&lt;&gt;"","5 - Mgmt Meeting",IF(L137&lt;&gt;"","4 - IOI Received",IF(K137&lt;&gt;"","3 - CIM Sent",IF(J137&lt;&gt;"","2 - NDA Signed",IF(I137&lt;&gt;"","1 - Teaser Sent","0 - Not Contacted")))))))))</f>
        <v>0 - Not Contacted</v>
      </c>
      <c r="W137" s="55" t="str">
        <f>IF(COUNT(G137:T137)=0,"-",Dashboard!$I$6-MAX(G137:T137))</f>
        <v>-</v>
      </c>
      <c r="X137" s="56" t="s">
        <v>611</v>
      </c>
    </row>
    <row r="138" spans="1:24" ht="15" customHeight="1">
      <c r="A138" s="41" t="s">
        <v>612</v>
      </c>
      <c r="B138" s="42" t="s">
        <v>613</v>
      </c>
      <c r="C138" s="43" t="s">
        <v>79</v>
      </c>
      <c r="D138" s="43" t="s">
        <v>80</v>
      </c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6" t="s">
        <v>577</v>
      </c>
      <c r="V138" s="46" t="str">
        <f>IF(T138&lt;&gt;"","9 - Closed",IF(S138&lt;&gt;"","8 - Definitive Agreement",IF(Q138&lt;&gt;"","7 - Diligence",IF(P138&lt;&gt;"","6 - LOI Signed",IF(O138&lt;&gt;"","5 - Mgmt Meeting",IF(L138&lt;&gt;"","4 - IOI Received",IF(K138&lt;&gt;"","3 - CIM Sent",IF(J138&lt;&gt;"","2 - NDA Signed",IF(I138&lt;&gt;"","1 - Teaser Sent","0 - Not Contacted")))))))))</f>
        <v>0 - Not Contacted</v>
      </c>
      <c r="W138" s="47" t="str">
        <f>IF(COUNT(G138:T138)=0,"-",Dashboard!$I$6-MAX(G138:T138))</f>
        <v>-</v>
      </c>
      <c r="X138" s="48" t="s">
        <v>614</v>
      </c>
    </row>
    <row r="139" spans="1:24" ht="15" customHeight="1">
      <c r="A139" s="49" t="s">
        <v>615</v>
      </c>
      <c r="B139" s="50" t="s">
        <v>616</v>
      </c>
      <c r="C139" s="51" t="s">
        <v>79</v>
      </c>
      <c r="D139" s="51" t="s">
        <v>80</v>
      </c>
      <c r="E139" s="52"/>
      <c r="F139" s="52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4" t="s">
        <v>577</v>
      </c>
      <c r="V139" s="54" t="str">
        <f>IF(T139&lt;&gt;"","9 - Closed",IF(S139&lt;&gt;"","8 - Definitive Agreement",IF(Q139&lt;&gt;"","7 - Diligence",IF(P139&lt;&gt;"","6 - LOI Signed",IF(O139&lt;&gt;"","5 - Mgmt Meeting",IF(L139&lt;&gt;"","4 - IOI Received",IF(K139&lt;&gt;"","3 - CIM Sent",IF(J139&lt;&gt;"","2 - NDA Signed",IF(I139&lt;&gt;"","1 - Teaser Sent","0 - Not Contacted")))))))))</f>
        <v>0 - Not Contacted</v>
      </c>
      <c r="W139" s="55" t="str">
        <f>IF(COUNT(G139:T139)=0,"-",Dashboard!$I$6-MAX(G139:T139))</f>
        <v>-</v>
      </c>
      <c r="X139" s="56" t="s">
        <v>617</v>
      </c>
    </row>
    <row r="140" spans="1:24" ht="15" customHeight="1">
      <c r="A140" s="41" t="s">
        <v>618</v>
      </c>
      <c r="B140" s="42" t="s">
        <v>619</v>
      </c>
      <c r="C140" s="43" t="s">
        <v>79</v>
      </c>
      <c r="D140" s="43" t="s">
        <v>80</v>
      </c>
      <c r="E140" s="44"/>
      <c r="F140" s="44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6" t="s">
        <v>577</v>
      </c>
      <c r="V140" s="46" t="str">
        <f>IF(T140&lt;&gt;"","9 - Closed",IF(S140&lt;&gt;"","8 - Definitive Agreement",IF(Q140&lt;&gt;"","7 - Diligence",IF(P140&lt;&gt;"","6 - LOI Signed",IF(O140&lt;&gt;"","5 - Mgmt Meeting",IF(L140&lt;&gt;"","4 - IOI Received",IF(K140&lt;&gt;"","3 - CIM Sent",IF(J140&lt;&gt;"","2 - NDA Signed",IF(I140&lt;&gt;"","1 - Teaser Sent","0 - Not Contacted")))))))))</f>
        <v>0 - Not Contacted</v>
      </c>
      <c r="W140" s="47" t="str">
        <f>IF(COUNT(G140:T140)=0,"-",Dashboard!$I$6-MAX(G140:T140))</f>
        <v>-</v>
      </c>
      <c r="X140" s="48" t="s">
        <v>620</v>
      </c>
    </row>
    <row r="141" spans="1:24" ht="15" customHeight="1">
      <c r="A141" s="49" t="s">
        <v>621</v>
      </c>
      <c r="B141" s="50" t="s">
        <v>622</v>
      </c>
      <c r="C141" s="51" t="s">
        <v>79</v>
      </c>
      <c r="D141" s="51" t="s">
        <v>80</v>
      </c>
      <c r="E141" s="52"/>
      <c r="F141" s="52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4" t="s">
        <v>577</v>
      </c>
      <c r="V141" s="54" t="str">
        <f>IF(T141&lt;&gt;"","9 - Closed",IF(S141&lt;&gt;"","8 - Definitive Agreement",IF(Q141&lt;&gt;"","7 - Diligence",IF(P141&lt;&gt;"","6 - LOI Signed",IF(O141&lt;&gt;"","5 - Mgmt Meeting",IF(L141&lt;&gt;"","4 - IOI Received",IF(K141&lt;&gt;"","3 - CIM Sent",IF(J141&lt;&gt;"","2 - NDA Signed",IF(I141&lt;&gt;"","1 - Teaser Sent","0 - Not Contacted")))))))))</f>
        <v>0 - Not Contacted</v>
      </c>
      <c r="W141" s="55" t="str">
        <f>IF(COUNT(G141:T141)=0,"-",Dashboard!$I$6-MAX(G141:T141))</f>
        <v>-</v>
      </c>
      <c r="X141" s="56" t="s">
        <v>623</v>
      </c>
    </row>
  </sheetData>
  <autoFilter ref="A3:X141" xr:uid="{00000000-0009-0000-0000-000001000000}"/>
  <mergeCells count="2">
    <mergeCell ref="A1:X1"/>
    <mergeCell ref="A2:X2"/>
  </mergeCells>
  <conditionalFormatting sqref="U4:U141">
    <cfRule type="expression" dxfId="12" priority="2">
      <formula>U4="Declined"</formula>
    </cfRule>
    <cfRule type="expression" dxfId="11" priority="3">
      <formula>U4="Passed"</formula>
    </cfRule>
    <cfRule type="expression" dxfId="10" priority="4">
      <formula>U4="No Response"</formula>
    </cfRule>
    <cfRule type="expression" dxfId="9" priority="5">
      <formula>U4="On Hold"</formula>
    </cfRule>
    <cfRule type="expression" dxfId="8" priority="6">
      <formula>U4="Not Contacted"</formula>
    </cfRule>
    <cfRule type="expression" dxfId="7" priority="7">
      <formula>OR(U4="Active",U4="Active - Exclusivity")</formula>
    </cfRule>
  </conditionalFormatting>
  <conditionalFormatting sqref="W4:W141">
    <cfRule type="expression" dxfId="6" priority="8">
      <formula>AND(ISNUMBER(W4),W4&gt;21,OR(U4="Active",U4="Active - Exclusivity"))</formula>
    </cfRule>
  </conditionalFormatting>
  <conditionalFormatting sqref="D4:D141">
    <cfRule type="expression" dxfId="5" priority="9">
      <formula>D4="A"</formula>
    </cfRule>
    <cfRule type="expression" dxfId="4" priority="10">
      <formula>D4="C"</formula>
    </cfRule>
  </conditionalFormatting>
  <dataValidations count="3">
    <dataValidation type="list" allowBlank="1" sqref="U4:U141" xr:uid="{00000000-0002-0000-0100-000000000000}">
      <formula1>"Not Contacted,Active,Active - Exclusivity,Declined,Passed,No Response,On Hold,Closed"</formula1>
      <formula2>0</formula2>
    </dataValidation>
    <dataValidation type="list" allowBlank="1" sqref="C4:C141" xr:uid="{00000000-0002-0000-0100-000001000000}">
      <formula1>"Strategic,Private Equity,Family Office"</formula1>
      <formula2>0</formula2>
    </dataValidation>
    <dataValidation type="list" allowBlank="1" sqref="D4:D141" xr:uid="{00000000-0002-0000-0100-000002000000}">
      <formula1>"A,B,C"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I26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4" style="15" customWidth="1"/>
    <col min="2" max="2" width="30" style="15" customWidth="1"/>
    <col min="3" max="3" width="12" style="15" customWidth="1"/>
    <col min="4" max="4" width="18" style="15" customWidth="1"/>
    <col min="5" max="5" width="14" style="15" customWidth="1"/>
    <col min="6" max="6" width="52" style="15" customWidth="1"/>
    <col min="7" max="7" width="28" style="15" customWidth="1"/>
    <col min="8" max="8" width="46" style="15" customWidth="1"/>
    <col min="9" max="9" width="34" style="15" customWidth="1"/>
  </cols>
  <sheetData>
    <row r="1" spans="1:9" ht="21.75" customHeight="1">
      <c r="A1" s="87" t="s">
        <v>624</v>
      </c>
      <c r="B1" s="87"/>
      <c r="C1" s="87"/>
      <c r="D1" s="87"/>
      <c r="E1" s="87"/>
      <c r="F1" s="87"/>
      <c r="G1" s="87"/>
      <c r="H1" s="87"/>
      <c r="I1" s="87"/>
    </row>
    <row r="2" spans="1:9" ht="25.5" customHeight="1">
      <c r="A2" s="88" t="s">
        <v>625</v>
      </c>
      <c r="B2" s="88"/>
      <c r="C2" s="88"/>
      <c r="D2" s="88"/>
      <c r="E2" s="88"/>
      <c r="F2" s="88"/>
      <c r="G2" s="88"/>
      <c r="H2" s="88"/>
      <c r="I2" s="88"/>
    </row>
    <row r="3" spans="1:9" ht="25.5" customHeight="1">
      <c r="A3" s="57" t="s">
        <v>30</v>
      </c>
      <c r="B3" s="57" t="s">
        <v>60</v>
      </c>
      <c r="C3" s="57" t="s">
        <v>61</v>
      </c>
      <c r="D3" s="57" t="s">
        <v>626</v>
      </c>
      <c r="E3" s="57" t="s">
        <v>627</v>
      </c>
      <c r="F3" s="57" t="s">
        <v>628</v>
      </c>
      <c r="G3" s="57" t="s">
        <v>629</v>
      </c>
      <c r="H3" s="57" t="s">
        <v>630</v>
      </c>
      <c r="I3" s="57" t="s">
        <v>631</v>
      </c>
    </row>
    <row r="4" spans="1:9" ht="15.75" customHeight="1">
      <c r="A4" s="89" t="s">
        <v>632</v>
      </c>
      <c r="B4" s="89"/>
      <c r="C4" s="89"/>
      <c r="D4" s="89"/>
      <c r="E4" s="89"/>
      <c r="F4" s="89"/>
      <c r="G4" s="89"/>
      <c r="H4" s="89"/>
      <c r="I4" s="89"/>
    </row>
    <row r="5" spans="1:9" ht="69.75" customHeight="1">
      <c r="A5" s="58">
        <v>1</v>
      </c>
      <c r="B5" s="59" t="s">
        <v>576</v>
      </c>
      <c r="C5" s="60" t="s">
        <v>115</v>
      </c>
      <c r="D5" s="58" t="s">
        <v>633</v>
      </c>
      <c r="E5" s="58" t="s">
        <v>634</v>
      </c>
      <c r="F5" s="61" t="s">
        <v>635</v>
      </c>
      <c r="G5" s="61" t="s">
        <v>636</v>
      </c>
      <c r="H5" s="61" t="s">
        <v>637</v>
      </c>
      <c r="I5" s="61" t="s">
        <v>638</v>
      </c>
    </row>
    <row r="6" spans="1:9" ht="69.75" customHeight="1">
      <c r="A6" s="58">
        <v>2</v>
      </c>
      <c r="B6" s="59" t="s">
        <v>580</v>
      </c>
      <c r="C6" s="60" t="s">
        <v>115</v>
      </c>
      <c r="D6" s="58" t="s">
        <v>639</v>
      </c>
      <c r="E6" s="58" t="s">
        <v>634</v>
      </c>
      <c r="F6" s="61" t="s">
        <v>640</v>
      </c>
      <c r="G6" s="61" t="s">
        <v>641</v>
      </c>
      <c r="H6" s="61" t="s">
        <v>637</v>
      </c>
      <c r="I6" s="61" t="s">
        <v>642</v>
      </c>
    </row>
    <row r="7" spans="1:9" ht="69.75" customHeight="1">
      <c r="A7" s="58">
        <v>3</v>
      </c>
      <c r="B7" s="59" t="s">
        <v>583</v>
      </c>
      <c r="C7" s="60" t="s">
        <v>115</v>
      </c>
      <c r="D7" s="58" t="s">
        <v>639</v>
      </c>
      <c r="E7" s="58" t="s">
        <v>634</v>
      </c>
      <c r="F7" s="61" t="s">
        <v>643</v>
      </c>
      <c r="G7" s="61" t="s">
        <v>644</v>
      </c>
      <c r="H7" s="61" t="s">
        <v>645</v>
      </c>
      <c r="I7" s="61" t="s">
        <v>646</v>
      </c>
    </row>
    <row r="8" spans="1:9" ht="69.75" customHeight="1">
      <c r="A8" s="58">
        <v>4</v>
      </c>
      <c r="B8" s="59" t="s">
        <v>586</v>
      </c>
      <c r="C8" s="60" t="s">
        <v>115</v>
      </c>
      <c r="D8" s="58" t="s">
        <v>647</v>
      </c>
      <c r="E8" s="58" t="s">
        <v>634</v>
      </c>
      <c r="F8" s="61" t="s">
        <v>648</v>
      </c>
      <c r="G8" s="61" t="s">
        <v>641</v>
      </c>
      <c r="H8" s="61" t="s">
        <v>637</v>
      </c>
      <c r="I8" s="61" t="s">
        <v>649</v>
      </c>
    </row>
    <row r="9" spans="1:9" ht="69.75" customHeight="1">
      <c r="A9" s="58">
        <v>5</v>
      </c>
      <c r="B9" s="59" t="s">
        <v>589</v>
      </c>
      <c r="C9" s="60" t="s">
        <v>115</v>
      </c>
      <c r="D9" s="58" t="s">
        <v>650</v>
      </c>
      <c r="E9" s="58" t="s">
        <v>634</v>
      </c>
      <c r="F9" s="61" t="s">
        <v>651</v>
      </c>
      <c r="G9" s="61" t="s">
        <v>641</v>
      </c>
      <c r="H9" s="61" t="s">
        <v>637</v>
      </c>
      <c r="I9" s="61" t="s">
        <v>652</v>
      </c>
    </row>
    <row r="10" spans="1:9" ht="69.75" customHeight="1">
      <c r="A10" s="58">
        <v>6</v>
      </c>
      <c r="B10" s="59" t="s">
        <v>592</v>
      </c>
      <c r="C10" s="60" t="s">
        <v>115</v>
      </c>
      <c r="D10" s="58" t="s">
        <v>653</v>
      </c>
      <c r="E10" s="58" t="s">
        <v>654</v>
      </c>
      <c r="F10" s="61" t="s">
        <v>655</v>
      </c>
      <c r="G10" s="61" t="s">
        <v>656</v>
      </c>
      <c r="H10" s="61" t="s">
        <v>657</v>
      </c>
      <c r="I10" s="61" t="s">
        <v>658</v>
      </c>
    </row>
    <row r="11" spans="1:9" ht="69.75" customHeight="1">
      <c r="A11" s="58">
        <v>7</v>
      </c>
      <c r="B11" s="59" t="s">
        <v>595</v>
      </c>
      <c r="C11" s="60" t="s">
        <v>115</v>
      </c>
      <c r="D11" s="58" t="s">
        <v>659</v>
      </c>
      <c r="E11" s="58" t="s">
        <v>654</v>
      </c>
      <c r="F11" s="61" t="s">
        <v>660</v>
      </c>
      <c r="G11" s="61" t="s">
        <v>661</v>
      </c>
      <c r="H11" s="61" t="s">
        <v>662</v>
      </c>
      <c r="I11" s="61" t="s">
        <v>663</v>
      </c>
    </row>
    <row r="12" spans="1:9" ht="69.75" customHeight="1">
      <c r="A12" s="58">
        <v>8</v>
      </c>
      <c r="B12" s="59" t="s">
        <v>598</v>
      </c>
      <c r="C12" s="60" t="s">
        <v>115</v>
      </c>
      <c r="D12" s="58" t="s">
        <v>664</v>
      </c>
      <c r="E12" s="58" t="s">
        <v>654</v>
      </c>
      <c r="F12" s="61" t="s">
        <v>665</v>
      </c>
      <c r="G12" s="61" t="s">
        <v>666</v>
      </c>
      <c r="H12" s="61" t="s">
        <v>667</v>
      </c>
      <c r="I12" s="61" t="s">
        <v>668</v>
      </c>
    </row>
    <row r="13" spans="1:9" ht="69.75" customHeight="1">
      <c r="A13" s="58">
        <v>9</v>
      </c>
      <c r="B13" s="59" t="s">
        <v>601</v>
      </c>
      <c r="C13" s="60" t="s">
        <v>115</v>
      </c>
      <c r="D13" s="58" t="s">
        <v>669</v>
      </c>
      <c r="E13" s="58" t="s">
        <v>654</v>
      </c>
      <c r="F13" s="61" t="s">
        <v>670</v>
      </c>
      <c r="G13" s="61" t="s">
        <v>671</v>
      </c>
      <c r="H13" s="61" t="s">
        <v>672</v>
      </c>
      <c r="I13" s="61" t="s">
        <v>673</v>
      </c>
    </row>
    <row r="14" spans="1:9" ht="15.75" customHeight="1">
      <c r="A14" s="89" t="s">
        <v>674</v>
      </c>
      <c r="B14" s="89"/>
      <c r="C14" s="89"/>
      <c r="D14" s="89"/>
      <c r="E14" s="89"/>
      <c r="F14" s="89"/>
      <c r="G14" s="89"/>
      <c r="H14" s="89"/>
      <c r="I14" s="89"/>
    </row>
    <row r="15" spans="1:9" ht="78" customHeight="1">
      <c r="A15" s="58">
        <v>10</v>
      </c>
      <c r="B15" s="59" t="s">
        <v>604</v>
      </c>
      <c r="C15" s="60" t="s">
        <v>675</v>
      </c>
      <c r="D15" s="58" t="s">
        <v>676</v>
      </c>
      <c r="E15" s="58" t="s">
        <v>677</v>
      </c>
      <c r="F15" s="61" t="s">
        <v>678</v>
      </c>
      <c r="G15" s="61" t="s">
        <v>679</v>
      </c>
      <c r="H15" s="61" t="s">
        <v>680</v>
      </c>
      <c r="I15" s="61" t="s">
        <v>681</v>
      </c>
    </row>
    <row r="16" spans="1:9" ht="78" customHeight="1">
      <c r="A16" s="58">
        <v>11</v>
      </c>
      <c r="B16" s="59" t="s">
        <v>610</v>
      </c>
      <c r="C16" s="62" t="s">
        <v>675</v>
      </c>
      <c r="D16" s="58" t="s">
        <v>682</v>
      </c>
      <c r="E16" s="58" t="s">
        <v>683</v>
      </c>
      <c r="F16" s="61" t="s">
        <v>684</v>
      </c>
      <c r="G16" s="61" t="s">
        <v>685</v>
      </c>
      <c r="H16" s="61" t="s">
        <v>686</v>
      </c>
      <c r="I16" s="61" t="s">
        <v>687</v>
      </c>
    </row>
    <row r="17" spans="1:9" ht="78" customHeight="1">
      <c r="A17" s="58">
        <v>12</v>
      </c>
      <c r="B17" s="59" t="s">
        <v>607</v>
      </c>
      <c r="C17" s="60" t="s">
        <v>675</v>
      </c>
      <c r="D17" s="58" t="s">
        <v>688</v>
      </c>
      <c r="E17" s="58" t="s">
        <v>683</v>
      </c>
      <c r="F17" s="61" t="s">
        <v>689</v>
      </c>
      <c r="G17" s="61" t="s">
        <v>690</v>
      </c>
      <c r="H17" s="61" t="s">
        <v>691</v>
      </c>
      <c r="I17" s="61" t="s">
        <v>692</v>
      </c>
    </row>
    <row r="18" spans="1:9" ht="78" customHeight="1">
      <c r="A18" s="58">
        <v>13</v>
      </c>
      <c r="B18" s="59" t="s">
        <v>613</v>
      </c>
      <c r="C18" s="62" t="s">
        <v>675</v>
      </c>
      <c r="D18" s="58" t="s">
        <v>693</v>
      </c>
      <c r="E18" s="58" t="s">
        <v>683</v>
      </c>
      <c r="F18" s="61" t="s">
        <v>694</v>
      </c>
      <c r="G18" s="61" t="s">
        <v>695</v>
      </c>
      <c r="H18" s="61" t="s">
        <v>696</v>
      </c>
      <c r="I18" s="61" t="s">
        <v>697</v>
      </c>
    </row>
    <row r="19" spans="1:9" ht="78" customHeight="1">
      <c r="A19" s="58">
        <v>14</v>
      </c>
      <c r="B19" s="59" t="s">
        <v>616</v>
      </c>
      <c r="C19" s="62" t="s">
        <v>675</v>
      </c>
      <c r="D19" s="58" t="s">
        <v>698</v>
      </c>
      <c r="E19" s="58" t="s">
        <v>683</v>
      </c>
      <c r="F19" s="61" t="s">
        <v>699</v>
      </c>
      <c r="G19" s="61" t="s">
        <v>700</v>
      </c>
      <c r="H19" s="61" t="s">
        <v>701</v>
      </c>
      <c r="I19" s="61" t="s">
        <v>702</v>
      </c>
    </row>
    <row r="20" spans="1:9" ht="78" customHeight="1">
      <c r="A20" s="58">
        <v>15</v>
      </c>
      <c r="B20" s="59" t="s">
        <v>619</v>
      </c>
      <c r="C20" s="62" t="s">
        <v>675</v>
      </c>
      <c r="D20" s="58" t="s">
        <v>682</v>
      </c>
      <c r="E20" s="58" t="s">
        <v>683</v>
      </c>
      <c r="F20" s="61" t="s">
        <v>703</v>
      </c>
      <c r="G20" s="61" t="s">
        <v>704</v>
      </c>
      <c r="H20" s="61" t="s">
        <v>705</v>
      </c>
      <c r="I20" s="61" t="s">
        <v>706</v>
      </c>
    </row>
    <row r="21" spans="1:9" ht="78" customHeight="1">
      <c r="A21" s="58">
        <v>16</v>
      </c>
      <c r="B21" s="59" t="s">
        <v>622</v>
      </c>
      <c r="C21" s="62" t="s">
        <v>675</v>
      </c>
      <c r="D21" s="58" t="s">
        <v>707</v>
      </c>
      <c r="E21" s="58" t="s">
        <v>683</v>
      </c>
      <c r="F21" s="61" t="s">
        <v>708</v>
      </c>
      <c r="G21" s="61" t="s">
        <v>709</v>
      </c>
      <c r="H21" s="61" t="s">
        <v>710</v>
      </c>
      <c r="I21" s="61" t="s">
        <v>711</v>
      </c>
    </row>
    <row r="23" spans="1:9" ht="15" customHeight="1">
      <c r="A23" s="90" t="s">
        <v>712</v>
      </c>
      <c r="B23" s="90"/>
      <c r="C23" s="90"/>
      <c r="D23" s="90"/>
      <c r="E23" s="90"/>
      <c r="F23" s="90"/>
      <c r="G23" s="90"/>
      <c r="H23" s="90"/>
      <c r="I23" s="90"/>
    </row>
    <row r="24" spans="1:9" ht="27.75" customHeight="1">
      <c r="A24" s="88" t="s">
        <v>713</v>
      </c>
      <c r="B24" s="88"/>
      <c r="C24" s="88"/>
      <c r="D24" s="88"/>
      <c r="E24" s="88"/>
      <c r="F24" s="88"/>
      <c r="G24" s="88"/>
      <c r="H24" s="88"/>
      <c r="I24" s="88"/>
    </row>
    <row r="26" spans="1:9" ht="39.75" customHeight="1">
      <c r="A26" s="91" t="s">
        <v>714</v>
      </c>
      <c r="B26" s="91"/>
      <c r="C26" s="91"/>
      <c r="D26" s="91"/>
      <c r="E26" s="91"/>
      <c r="F26" s="91"/>
      <c r="G26" s="91"/>
      <c r="H26" s="91"/>
      <c r="I26" s="91"/>
    </row>
  </sheetData>
  <autoFilter ref="A3:I21" xr:uid="{00000000-0009-0000-0000-000002000000}"/>
  <mergeCells count="7">
    <mergeCell ref="A24:I24"/>
    <mergeCell ref="A26:I26"/>
    <mergeCell ref="A1:I1"/>
    <mergeCell ref="A2:I2"/>
    <mergeCell ref="A4:I4"/>
    <mergeCell ref="A14:I14"/>
    <mergeCell ref="A23:I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2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4.42578125" style="15" bestFit="1" customWidth="1"/>
    <col min="2" max="2" width="10.85546875" style="15" bestFit="1" customWidth="1"/>
    <col min="3" max="3" width="38.85546875" style="15" bestFit="1" customWidth="1"/>
    <col min="4" max="4" width="17.7109375" style="15" bestFit="1" customWidth="1"/>
    <col min="5" max="5" width="10.5703125" style="15" bestFit="1" customWidth="1"/>
    <col min="6" max="6" width="12.85546875" style="15" bestFit="1" customWidth="1"/>
    <col min="7" max="7" width="33.28515625" style="15" bestFit="1" customWidth="1"/>
  </cols>
  <sheetData>
    <row r="1" spans="1:7" ht="21.75" customHeight="1">
      <c r="A1" s="14" t="s">
        <v>715</v>
      </c>
      <c r="B1" s="14"/>
      <c r="C1" s="14"/>
      <c r="D1" s="14"/>
      <c r="E1" s="14"/>
      <c r="F1" s="14"/>
      <c r="G1" s="14"/>
    </row>
    <row r="2" spans="1:7" ht="13.5" customHeight="1">
      <c r="A2" s="13" t="s">
        <v>716</v>
      </c>
      <c r="B2" s="13"/>
      <c r="C2" s="13"/>
      <c r="D2" s="13"/>
      <c r="E2" s="13"/>
      <c r="F2" s="13"/>
      <c r="G2" s="13"/>
    </row>
    <row r="3" spans="1:7" ht="15.75" customHeight="1">
      <c r="A3" s="24" t="s">
        <v>30</v>
      </c>
      <c r="B3" s="24" t="s">
        <v>717</v>
      </c>
      <c r="C3" s="24" t="s">
        <v>718</v>
      </c>
      <c r="D3" s="24" t="s">
        <v>719</v>
      </c>
      <c r="E3" s="24" t="s">
        <v>34</v>
      </c>
      <c r="F3" s="24" t="s">
        <v>32</v>
      </c>
      <c r="G3" s="24" t="s">
        <v>76</v>
      </c>
    </row>
    <row r="4" spans="1:7" ht="15" customHeight="1">
      <c r="A4" s="25">
        <v>1</v>
      </c>
      <c r="B4" s="27" t="s">
        <v>675</v>
      </c>
      <c r="C4" s="63" t="s">
        <v>720</v>
      </c>
      <c r="D4" s="64" t="s">
        <v>721</v>
      </c>
      <c r="E4" s="64" t="s">
        <v>36</v>
      </c>
      <c r="F4" s="34">
        <v>46235</v>
      </c>
      <c r="G4" s="65" t="s">
        <v>722</v>
      </c>
    </row>
    <row r="5" spans="1:7" ht="15" customHeight="1">
      <c r="A5" s="25">
        <v>2</v>
      </c>
      <c r="B5" s="27" t="s">
        <v>675</v>
      </c>
      <c r="C5" s="63" t="s">
        <v>723</v>
      </c>
      <c r="D5" s="64" t="s">
        <v>724</v>
      </c>
      <c r="E5" s="64" t="s">
        <v>44</v>
      </c>
      <c r="F5" s="34">
        <v>46254</v>
      </c>
      <c r="G5" s="65" t="s">
        <v>725</v>
      </c>
    </row>
    <row r="6" spans="1:7" ht="15" customHeight="1">
      <c r="A6" s="25">
        <v>3</v>
      </c>
      <c r="B6" s="27" t="s">
        <v>675</v>
      </c>
      <c r="C6" s="63" t="s">
        <v>726</v>
      </c>
      <c r="D6" s="64" t="s">
        <v>721</v>
      </c>
      <c r="E6" s="64" t="s">
        <v>44</v>
      </c>
      <c r="F6" s="34">
        <v>46252</v>
      </c>
      <c r="G6" s="65" t="s">
        <v>727</v>
      </c>
    </row>
    <row r="7" spans="1:7" ht="15" customHeight="1">
      <c r="A7" s="25">
        <v>4</v>
      </c>
      <c r="B7" s="27" t="s">
        <v>675</v>
      </c>
      <c r="C7" s="63" t="s">
        <v>728</v>
      </c>
      <c r="D7" s="64" t="s">
        <v>729</v>
      </c>
      <c r="E7" s="64" t="s">
        <v>36</v>
      </c>
      <c r="F7" s="34">
        <v>46235</v>
      </c>
      <c r="G7" s="65" t="s">
        <v>730</v>
      </c>
    </row>
    <row r="8" spans="1:7" ht="15" customHeight="1">
      <c r="A8" s="25">
        <v>5</v>
      </c>
      <c r="B8" s="27" t="s">
        <v>675</v>
      </c>
      <c r="C8" s="63" t="s">
        <v>731</v>
      </c>
      <c r="D8" s="64" t="s">
        <v>732</v>
      </c>
      <c r="E8" s="64" t="s">
        <v>36</v>
      </c>
      <c r="F8" s="34">
        <v>46233</v>
      </c>
      <c r="G8" s="65" t="s">
        <v>822</v>
      </c>
    </row>
    <row r="9" spans="1:7" ht="15" customHeight="1">
      <c r="A9" s="25">
        <v>6</v>
      </c>
      <c r="B9" s="27" t="s">
        <v>734</v>
      </c>
      <c r="C9" s="63" t="s">
        <v>735</v>
      </c>
      <c r="D9" s="64" t="s">
        <v>736</v>
      </c>
      <c r="E9" s="64" t="s">
        <v>36</v>
      </c>
      <c r="F9" s="34">
        <v>46235</v>
      </c>
      <c r="G9" s="65" t="s">
        <v>737</v>
      </c>
    </row>
    <row r="10" spans="1:7" ht="15" customHeight="1">
      <c r="A10" s="25">
        <v>7</v>
      </c>
      <c r="B10" s="27" t="s">
        <v>734</v>
      </c>
      <c r="C10" s="63" t="s">
        <v>738</v>
      </c>
      <c r="D10" s="64" t="s">
        <v>736</v>
      </c>
      <c r="E10" s="64" t="s">
        <v>44</v>
      </c>
      <c r="F10" s="34">
        <v>46256</v>
      </c>
      <c r="G10" s="65" t="s">
        <v>739</v>
      </c>
    </row>
    <row r="11" spans="1:7" ht="15" customHeight="1">
      <c r="A11" s="25">
        <v>8</v>
      </c>
      <c r="B11" s="27" t="s">
        <v>734</v>
      </c>
      <c r="C11" s="63" t="s">
        <v>740</v>
      </c>
      <c r="D11" s="64" t="s">
        <v>736</v>
      </c>
      <c r="E11" s="64" t="s">
        <v>36</v>
      </c>
      <c r="F11" s="34">
        <v>46239</v>
      </c>
      <c r="G11" s="65" t="s">
        <v>741</v>
      </c>
    </row>
    <row r="12" spans="1:7" ht="15" customHeight="1">
      <c r="A12" s="25">
        <v>9</v>
      </c>
      <c r="B12" s="27" t="s">
        <v>734</v>
      </c>
      <c r="C12" s="63" t="s">
        <v>742</v>
      </c>
      <c r="D12" s="64" t="s">
        <v>736</v>
      </c>
      <c r="E12" s="64" t="s">
        <v>46</v>
      </c>
      <c r="F12" s="34">
        <v>46259</v>
      </c>
      <c r="G12" s="65"/>
    </row>
    <row r="13" spans="1:7" ht="15" customHeight="1">
      <c r="A13" s="25">
        <v>10</v>
      </c>
      <c r="B13" s="27" t="s">
        <v>743</v>
      </c>
      <c r="C13" s="63" t="s">
        <v>744</v>
      </c>
      <c r="D13" s="64" t="s">
        <v>745</v>
      </c>
      <c r="E13" s="64" t="s">
        <v>36</v>
      </c>
      <c r="F13" s="34">
        <v>46237</v>
      </c>
      <c r="G13" s="65" t="s">
        <v>746</v>
      </c>
    </row>
    <row r="14" spans="1:7" ht="15" customHeight="1">
      <c r="A14" s="25">
        <v>11</v>
      </c>
      <c r="B14" s="27" t="s">
        <v>743</v>
      </c>
      <c r="C14" s="63" t="s">
        <v>747</v>
      </c>
      <c r="D14" s="64" t="s">
        <v>745</v>
      </c>
      <c r="E14" s="64" t="s">
        <v>36</v>
      </c>
      <c r="F14" s="34">
        <v>46237</v>
      </c>
      <c r="G14" s="65" t="s">
        <v>748</v>
      </c>
    </row>
    <row r="15" spans="1:7" ht="15" customHeight="1">
      <c r="A15" s="25">
        <v>12</v>
      </c>
      <c r="B15" s="27" t="s">
        <v>743</v>
      </c>
      <c r="C15" s="63" t="s">
        <v>749</v>
      </c>
      <c r="D15" s="64" t="s">
        <v>745</v>
      </c>
      <c r="E15" s="64" t="s">
        <v>44</v>
      </c>
      <c r="F15" s="34">
        <v>46254</v>
      </c>
      <c r="G15" s="65" t="s">
        <v>750</v>
      </c>
    </row>
    <row r="16" spans="1:7" ht="15" customHeight="1">
      <c r="A16" s="25">
        <v>13</v>
      </c>
      <c r="B16" s="27" t="s">
        <v>743</v>
      </c>
      <c r="C16" s="63" t="s">
        <v>751</v>
      </c>
      <c r="D16" s="64" t="s">
        <v>745</v>
      </c>
      <c r="E16" s="64" t="s">
        <v>46</v>
      </c>
      <c r="F16" s="34">
        <v>46259</v>
      </c>
      <c r="G16" s="65"/>
    </row>
    <row r="17" spans="1:7" ht="15" customHeight="1">
      <c r="A17" s="25">
        <v>14</v>
      </c>
      <c r="B17" s="27" t="s">
        <v>752</v>
      </c>
      <c r="C17" s="63" t="s">
        <v>753</v>
      </c>
      <c r="D17" s="64" t="s">
        <v>754</v>
      </c>
      <c r="E17" s="64" t="s">
        <v>44</v>
      </c>
      <c r="F17" s="34">
        <v>46262</v>
      </c>
      <c r="G17" s="65" t="s">
        <v>755</v>
      </c>
    </row>
    <row r="18" spans="1:7" ht="15" customHeight="1">
      <c r="A18" s="25">
        <v>15</v>
      </c>
      <c r="B18" s="27" t="s">
        <v>752</v>
      </c>
      <c r="C18" s="63" t="s">
        <v>756</v>
      </c>
      <c r="D18" s="64" t="s">
        <v>757</v>
      </c>
      <c r="E18" s="64" t="s">
        <v>46</v>
      </c>
      <c r="F18" s="34">
        <v>46266</v>
      </c>
      <c r="G18" s="65"/>
    </row>
    <row r="19" spans="1:7" ht="15" customHeight="1">
      <c r="A19" s="25">
        <v>16</v>
      </c>
      <c r="B19" s="27" t="s">
        <v>752</v>
      </c>
      <c r="C19" s="63" t="s">
        <v>758</v>
      </c>
      <c r="D19" s="64" t="s">
        <v>732</v>
      </c>
      <c r="E19" s="64" t="s">
        <v>44</v>
      </c>
      <c r="F19" s="34">
        <v>46254</v>
      </c>
      <c r="G19" s="65" t="s">
        <v>759</v>
      </c>
    </row>
    <row r="20" spans="1:7" ht="15" customHeight="1">
      <c r="A20" s="25">
        <v>17</v>
      </c>
      <c r="B20" s="27" t="s">
        <v>760</v>
      </c>
      <c r="C20" s="63" t="s">
        <v>761</v>
      </c>
      <c r="D20" s="64" t="s">
        <v>762</v>
      </c>
      <c r="E20" s="64" t="s">
        <v>44</v>
      </c>
      <c r="F20" s="34">
        <v>46259</v>
      </c>
      <c r="G20" s="65" t="s">
        <v>763</v>
      </c>
    </row>
    <row r="21" spans="1:7" ht="15" customHeight="1">
      <c r="A21" s="25">
        <v>18</v>
      </c>
      <c r="B21" s="27" t="s">
        <v>760</v>
      </c>
      <c r="C21" s="63" t="s">
        <v>764</v>
      </c>
      <c r="D21" s="64" t="s">
        <v>729</v>
      </c>
      <c r="E21" s="64" t="s">
        <v>46</v>
      </c>
      <c r="F21" s="34">
        <v>46266</v>
      </c>
      <c r="G21" s="65"/>
    </row>
    <row r="22" spans="1:7" ht="15" customHeight="1">
      <c r="A22" s="25">
        <v>19</v>
      </c>
      <c r="B22" s="27" t="s">
        <v>760</v>
      </c>
      <c r="C22" s="63" t="s">
        <v>765</v>
      </c>
      <c r="D22" s="64" t="s">
        <v>766</v>
      </c>
      <c r="E22" s="64" t="s">
        <v>46</v>
      </c>
      <c r="F22" s="34">
        <v>46266</v>
      </c>
      <c r="G22" s="65"/>
    </row>
    <row r="23" spans="1:7" ht="15" customHeight="1">
      <c r="A23" s="25">
        <v>20</v>
      </c>
      <c r="B23" s="27" t="s">
        <v>760</v>
      </c>
      <c r="C23" s="63" t="s">
        <v>767</v>
      </c>
      <c r="D23" s="64" t="s">
        <v>729</v>
      </c>
      <c r="E23" s="64" t="s">
        <v>36</v>
      </c>
      <c r="F23" s="34">
        <v>46239</v>
      </c>
      <c r="G23" s="65" t="s">
        <v>768</v>
      </c>
    </row>
    <row r="24" spans="1:7" ht="15" customHeight="1">
      <c r="A24" s="25">
        <v>21</v>
      </c>
      <c r="B24" s="27" t="s">
        <v>769</v>
      </c>
      <c r="C24" s="63" t="s">
        <v>770</v>
      </c>
      <c r="D24" s="64" t="s">
        <v>757</v>
      </c>
      <c r="E24" s="64" t="s">
        <v>44</v>
      </c>
      <c r="F24" s="34">
        <v>46256</v>
      </c>
      <c r="G24" s="65" t="s">
        <v>771</v>
      </c>
    </row>
    <row r="25" spans="1:7" ht="15" customHeight="1">
      <c r="A25" s="25">
        <v>22</v>
      </c>
      <c r="B25" s="27" t="s">
        <v>769</v>
      </c>
      <c r="C25" s="63" t="s">
        <v>772</v>
      </c>
      <c r="D25" s="64" t="s">
        <v>736</v>
      </c>
      <c r="E25" s="64" t="s">
        <v>36</v>
      </c>
      <c r="F25" s="34">
        <v>46239</v>
      </c>
      <c r="G25" s="65" t="s">
        <v>773</v>
      </c>
    </row>
    <row r="26" spans="1:7" ht="15" customHeight="1">
      <c r="A26" s="25">
        <v>23</v>
      </c>
      <c r="B26" s="27" t="s">
        <v>769</v>
      </c>
      <c r="C26" s="63" t="s">
        <v>774</v>
      </c>
      <c r="D26" s="64" t="s">
        <v>757</v>
      </c>
      <c r="E26" s="64" t="s">
        <v>46</v>
      </c>
      <c r="F26" s="34">
        <v>46270</v>
      </c>
      <c r="G26" s="65"/>
    </row>
    <row r="27" spans="1:7" ht="15" customHeight="1">
      <c r="A27" s="25">
        <v>24</v>
      </c>
      <c r="B27" s="27" t="s">
        <v>775</v>
      </c>
      <c r="C27" s="63" t="s">
        <v>776</v>
      </c>
      <c r="D27" s="64" t="s">
        <v>777</v>
      </c>
      <c r="E27" s="64" t="s">
        <v>46</v>
      </c>
      <c r="F27" s="34">
        <v>46270</v>
      </c>
      <c r="G27" s="65"/>
    </row>
    <row r="28" spans="1:7" ht="15" customHeight="1">
      <c r="A28" s="25">
        <v>25</v>
      </c>
      <c r="B28" s="27" t="s">
        <v>778</v>
      </c>
      <c r="C28" s="63" t="s">
        <v>779</v>
      </c>
      <c r="D28" s="64" t="s">
        <v>780</v>
      </c>
      <c r="E28" s="64" t="s">
        <v>44</v>
      </c>
      <c r="F28" s="34">
        <v>46262</v>
      </c>
      <c r="G28" s="65" t="s">
        <v>781</v>
      </c>
    </row>
    <row r="29" spans="1:7" ht="15" customHeight="1">
      <c r="A29" s="25">
        <v>26</v>
      </c>
      <c r="B29" s="27" t="s">
        <v>782</v>
      </c>
      <c r="C29" s="63" t="s">
        <v>783</v>
      </c>
      <c r="D29" s="64" t="s">
        <v>757</v>
      </c>
      <c r="E29" s="64" t="s">
        <v>46</v>
      </c>
      <c r="F29" s="34">
        <v>46270</v>
      </c>
      <c r="G29" s="65"/>
    </row>
    <row r="30" spans="1:7" ht="15" customHeight="1">
      <c r="A30" s="66"/>
      <c r="B30" s="66"/>
      <c r="C30" s="66"/>
      <c r="D30" s="66"/>
      <c r="E30" s="66"/>
      <c r="F30" s="66"/>
      <c r="G30" s="66"/>
    </row>
    <row r="31" spans="1:7" ht="15.75" customHeight="1">
      <c r="A31" s="12" t="s">
        <v>784</v>
      </c>
      <c r="B31" s="12"/>
      <c r="C31" s="12"/>
      <c r="D31" s="12"/>
      <c r="E31" s="12"/>
      <c r="F31" s="12"/>
      <c r="G31" s="12"/>
    </row>
    <row r="32" spans="1:7" ht="19.5" customHeight="1">
      <c r="A32" s="11" t="s">
        <v>785</v>
      </c>
      <c r="B32" s="11"/>
      <c r="C32" s="11"/>
      <c r="D32" s="10" t="str">
        <f>COUNTIF(E4:E29,"Complete")&amp;" of "&amp;COUNTA(E4:E29)&amp;" items"</f>
        <v>9 of 26 items</v>
      </c>
      <c r="E32" s="10"/>
      <c r="F32" s="9">
        <f>COUNTIF(E4:E29,"Complete")/COUNTA(E4:E29)</f>
        <v>0.346153846153846</v>
      </c>
      <c r="G32" s="9"/>
    </row>
  </sheetData>
  <autoFilter ref="A3:G29" xr:uid="{00000000-0009-0000-0000-000003000000}"/>
  <mergeCells count="6">
    <mergeCell ref="A1:G1"/>
    <mergeCell ref="A2:G2"/>
    <mergeCell ref="A31:G31"/>
    <mergeCell ref="A32:C32"/>
    <mergeCell ref="D32:E32"/>
    <mergeCell ref="F32:G32"/>
  </mergeCells>
  <conditionalFormatting sqref="A4:G29">
    <cfRule type="expression" dxfId="3" priority="2">
      <formula>AND(MOD(ROW(),2)=0,$C4&lt;&gt;"")</formula>
    </cfRule>
  </conditionalFormatting>
  <conditionalFormatting sqref="E4:E29">
    <cfRule type="expression" dxfId="2" priority="3">
      <formula>$E4="In Progress"</formula>
    </cfRule>
    <cfRule type="expression" dxfId="1" priority="4">
      <formula>$E4="Not Started"</formula>
    </cfRule>
    <cfRule type="expression" dxfId="0" priority="5">
      <formula>$E4="Complete"</formula>
    </cfRule>
  </conditionalFormatting>
  <dataValidations count="1">
    <dataValidation type="list" allowBlank="1" sqref="E4:E29" xr:uid="{00000000-0002-0000-0300-000000000000}">
      <formula1>"Complete,In Progress,Not Started,Blocked"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5"/>
  <sheetViews>
    <sheetView showGridLines="0" zoomScaleNormal="100" workbookViewId="0">
      <selection activeCell="A1" sqref="A1"/>
    </sheetView>
  </sheetViews>
  <sheetFormatPr defaultColWidth="8.7109375" defaultRowHeight="15"/>
  <cols>
    <col min="1" max="1" width="4" style="15" customWidth="1"/>
    <col min="2" max="2" width="70" style="15" customWidth="1"/>
  </cols>
  <sheetData>
    <row r="1" spans="1:2" ht="25.5" customHeight="1">
      <c r="A1" s="92" t="s">
        <v>786</v>
      </c>
      <c r="B1" s="92"/>
    </row>
    <row r="2" spans="1:2" ht="15" customHeight="1">
      <c r="A2" s="66"/>
      <c r="B2" s="66"/>
    </row>
    <row r="3" spans="1:2" ht="18" customHeight="1">
      <c r="A3" s="93" t="s">
        <v>787</v>
      </c>
      <c r="B3" s="93"/>
    </row>
    <row r="4" spans="1:2" ht="48" customHeight="1">
      <c r="A4" s="66"/>
      <c r="B4" s="68" t="s">
        <v>824</v>
      </c>
    </row>
    <row r="5" spans="1:2" ht="48" customHeight="1">
      <c r="A5" s="66"/>
      <c r="B5" s="68" t="s">
        <v>825</v>
      </c>
    </row>
    <row r="6" spans="1:2" ht="48" customHeight="1">
      <c r="A6" s="66"/>
      <c r="B6" s="68" t="s">
        <v>790</v>
      </c>
    </row>
    <row r="7" spans="1:2" ht="39.75" customHeight="1">
      <c r="B7" s="69" t="s">
        <v>791</v>
      </c>
    </row>
    <row r="8" spans="1:2" ht="18" customHeight="1">
      <c r="A8" s="94"/>
      <c r="B8" s="94"/>
    </row>
    <row r="9" spans="1:2" ht="48" customHeight="1">
      <c r="A9" s="67" t="s">
        <v>792</v>
      </c>
      <c r="B9" s="70"/>
    </row>
    <row r="10" spans="1:2" ht="33.75" customHeight="1">
      <c r="A10" s="66"/>
      <c r="B10" s="68" t="s">
        <v>826</v>
      </c>
    </row>
    <row r="11" spans="1:2" ht="33.75" customHeight="1">
      <c r="A11" s="66"/>
      <c r="B11" s="68" t="s">
        <v>794</v>
      </c>
    </row>
    <row r="12" spans="1:2" ht="48" customHeight="1">
      <c r="A12" s="66"/>
      <c r="B12" s="68" t="s">
        <v>795</v>
      </c>
    </row>
    <row r="13" spans="1:2" ht="34.5" customHeight="1">
      <c r="A13" s="66"/>
      <c r="B13" s="68" t="s">
        <v>827</v>
      </c>
    </row>
    <row r="14" spans="1:2" ht="18" customHeight="1">
      <c r="A14" s="94"/>
      <c r="B14" s="94"/>
    </row>
    <row r="15" spans="1:2" ht="33.75" customHeight="1">
      <c r="A15" s="67" t="s">
        <v>797</v>
      </c>
      <c r="B15" s="70"/>
    </row>
    <row r="16" spans="1:2" ht="33.75" customHeight="1">
      <c r="A16" s="66"/>
      <c r="B16" s="68" t="s">
        <v>828</v>
      </c>
    </row>
    <row r="17" spans="1:2" ht="48" customHeight="1">
      <c r="A17" s="66"/>
      <c r="B17" s="68" t="s">
        <v>829</v>
      </c>
    </row>
    <row r="18" spans="1:2" ht="33.75" customHeight="1">
      <c r="A18" s="66"/>
      <c r="B18" s="68" t="s">
        <v>830</v>
      </c>
    </row>
    <row r="19" spans="1:2" ht="34.5" customHeight="1">
      <c r="A19" s="66"/>
      <c r="B19" s="68" t="s">
        <v>801</v>
      </c>
    </row>
    <row r="20" spans="1:2" ht="18" customHeight="1">
      <c r="A20" s="94"/>
      <c r="B20" s="94"/>
    </row>
    <row r="21" spans="1:2" ht="90" customHeight="1">
      <c r="A21" s="67" t="s">
        <v>802</v>
      </c>
      <c r="B21" s="70"/>
    </row>
    <row r="22" spans="1:2" ht="68.25" customHeight="1">
      <c r="A22" s="66"/>
      <c r="B22" s="68" t="s">
        <v>803</v>
      </c>
    </row>
    <row r="23" spans="1:2" ht="18" customHeight="1">
      <c r="A23" s="94"/>
      <c r="B23" s="94"/>
    </row>
    <row r="24" spans="1:2" ht="48" customHeight="1">
      <c r="A24" s="67" t="s">
        <v>804</v>
      </c>
      <c r="B24" s="70"/>
    </row>
    <row r="25" spans="1:2" ht="57" customHeight="1">
      <c r="A25" s="66"/>
      <c r="B25" s="68" t="s">
        <v>805</v>
      </c>
    </row>
  </sheetData>
  <mergeCells count="6">
    <mergeCell ref="A23:B23"/>
    <mergeCell ref="A1:B1"/>
    <mergeCell ref="A3:B3"/>
    <mergeCell ref="A8:B8"/>
    <mergeCell ref="A14:B14"/>
    <mergeCell ref="A20:B20"/>
  </mergeCells>
  <pageMargins left="0.5" right="0.5" top="1" bottom="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2</cp:revision>
  <dcterms:created xsi:type="dcterms:W3CDTF">2026-08-04T23:35:44Z</dcterms:created>
  <dcterms:modified xsi:type="dcterms:W3CDTF">2026-08-05T21:46:53Z</dcterms:modified>
  <cp:category/>
  <cp:contentStatus/>
</cp:coreProperties>
</file>