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&amp; Debt Schedule" sheetId="5" state="visible" r:id="rId5"/>
    <sheet xmlns:r="http://schemas.openxmlformats.org/officeDocument/2006/relationships" name="Valuation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ources &amp; Uses" sheetId="8" state="visible" r:id="rId8"/>
    <sheet xmlns:r="http://schemas.openxmlformats.org/officeDocument/2006/relationships" name="Advisor Fee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eturns Analysis" sheetId="11" state="visible" r:id="rId11"/>
  </sheets>
  <definedNames>
    <definedName name="_xlnm.Print_Area" localSheetId="0">'Cover'!$A$1:$H$37</definedName>
    <definedName name="_xlnm.Print_Area" localSheetId="1">'Assumptions'!$A$1:$G$105</definedName>
    <definedName name="_xlnm.Print_Area" localSheetId="2">'Income Statement'!$A$1:$L$22</definedName>
    <definedName name="_xlnm.Print_Area" localSheetId="3">'Balance Sheet'!$A$1:$H$32</definedName>
    <definedName name="_xlnm.Print_Area" localSheetId="4">'Cash Flow &amp; Debt Schedule'!$A$1:$H$40</definedName>
    <definedName name="_xlnm.Print_Area" localSheetId="5">'Valuation'!$A$1:$G$31</definedName>
    <definedName name="_xlnm.Print_Area" localSheetId="6">'DCF'!$A$1:$H$70</definedName>
    <definedName name="_xlnm.Print_Area" localSheetId="7">'Sources &amp; Uses'!$A$1:$G$36</definedName>
    <definedName name="_xlnm.Print_Area" localSheetId="8">'Advisor Fee'!$A$1:$H$24</definedName>
    <definedName name="_xlnm.Print_Area" localSheetId="9">'Sensitivity'!$A$1:$P$25</definedName>
    <definedName name="_xlnm.Print_Area" localSheetId="10">'Returns Analysis'!$A$1:$I$33</definedName>
  </definedNames>
  <calcPr calcId="191028" iterateDelta="0.0001" fullCalcOnLoad="1"/>
</workbook>
</file>

<file path=xl/styles.xml><?xml version="1.0" encoding="utf-8"?>
<styleSheet xmlns="http://schemas.openxmlformats.org/spreadsheetml/2006/main">
  <numFmts count="11">
    <numFmt numFmtId="164" formatCode="0.0%;\(0.0%\);\-"/>
    <numFmt numFmtId="165" formatCode="#,##0&quot; bps&quot;"/>
    <numFmt numFmtId="166" formatCode="0.00\x"/>
    <numFmt numFmtId="167" formatCode="\$#,##0.00;&quot;($&quot;#,##0.00\);\-"/>
    <numFmt numFmtId="168" formatCode="0&quot; yrs&quot;"/>
    <numFmt numFmtId="169" formatCode="\$#,##0.0;&quot;($&quot;#,##0.0\);\-"/>
    <numFmt numFmtId="170" formatCode="[=9999]&quot;No Cap&quot;;\$#,##0.0"/>
    <numFmt numFmtId="171" formatCode="0.00%;\(0.00%\);\-"/>
    <numFmt numFmtId="172" formatCode="\$#,##0;&quot;($&quot;#,##0\);\-"/>
    <numFmt numFmtId="173" formatCode="0.0"/>
    <numFmt numFmtId="174" formatCode="0.000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color rgb="FF595959"/>
      <sz val="8"/>
    </font>
    <font>
      <name val="Arial"/>
      <charset val="1"/>
      <b val="1"/>
      <color rgb="FFFFFFFF"/>
      <sz val="11"/>
    </font>
    <font>
      <name val="Arial"/>
      <charset val="1"/>
      <color rgb="FF595959"/>
      <sz val="9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charset val="1"/>
      <color rgb="FF66707D"/>
      <sz val="8"/>
    </font>
    <font>
      <name val="Arial"/>
      <charset val="1"/>
      <b val="1"/>
      <color rgb="FF0000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08000"/>
      <sz val="10"/>
    </font>
    <font>
      <name val="Arial"/>
      <family val="2"/>
      <sz val="10"/>
    </font>
    <font>
      <name val="Arial"/>
      <charset val="1"/>
      <b val="1"/>
      <color rgb="FF595959"/>
      <sz val="8"/>
    </font>
  </fonts>
  <fills count="7">
    <fill>
      <patternFill/>
    </fill>
    <fill>
      <patternFill patternType="gray125"/>
    </fill>
    <fill>
      <patternFill patternType="solid">
        <fgColor rgb="FF0C2340"/>
        <bgColor rgb="FF003300"/>
      </patternFill>
    </fill>
    <fill>
      <patternFill patternType="solid">
        <fgColor rgb="FFF4E9D3"/>
        <bgColor rgb="FFF2F2F2"/>
      </patternFill>
    </fill>
    <fill>
      <patternFill patternType="solid">
        <fgColor rgb="FFF2F2F2"/>
        <bgColor rgb="FFF4F6F8"/>
      </patternFill>
    </fill>
    <fill>
      <patternFill patternType="solid">
        <fgColor rgb="FFF4F6F8"/>
        <bgColor rgb="FFF2F2F2"/>
      </patternFill>
    </fill>
    <fill>
      <patternFill patternType="solid">
        <fgColor rgb="FFE6EBF2"/>
        <bgColor rgb="FFF2F2F2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08D3F"/>
      </bottom>
      <diagonal/>
    </border>
    <border>
      <left/>
      <right/>
      <top style="double">
        <color auto="1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10" fillId="0" borderId="0" applyAlignment="1" pivotButton="0" quotePrefix="0" xfId="0">
      <alignment horizontal="right"/>
    </xf>
    <xf numFmtId="0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7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6" fontId="13" fillId="3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70" fontId="8" fillId="0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7" fontId="3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7" fontId="3" fillId="5" borderId="2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7" fontId="9" fillId="5" borderId="1" applyAlignment="1" pivotButton="0" quotePrefix="0" xfId="0">
      <alignment horizontal="right" vertical="center"/>
    </xf>
    <xf numFmtId="167" fontId="3" fillId="5" borderId="4" applyAlignment="1" pivotButton="0" quotePrefix="0" xfId="0">
      <alignment horizontal="right" vertical="center"/>
    </xf>
    <xf numFmtId="167" fontId="3" fillId="6" borderId="4" applyAlignment="1" pivotButton="0" quotePrefix="0" xfId="0">
      <alignment horizontal="right" vertical="center"/>
    </xf>
    <xf numFmtId="167" fontId="3" fillId="6" borderId="2" applyAlignment="1" pivotButton="0" quotePrefix="0" xfId="0">
      <alignment horizontal="right" vertical="center"/>
    </xf>
    <xf numFmtId="167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3" fillId="0" borderId="2" applyAlignment="1" pivotButton="0" quotePrefix="0" xfId="0">
      <alignment horizontal="left" vertical="center"/>
    </xf>
    <xf numFmtId="167" fontId="13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15" fillId="0" borderId="0" pivotButton="0" quotePrefix="0" xfId="0"/>
    <xf numFmtId="166" fontId="8" fillId="3" borderId="1" applyAlignment="1" pivotButton="0" quotePrefix="0" xfId="0">
      <alignment horizontal="right" vertical="center"/>
    </xf>
    <xf numFmtId="167" fontId="9" fillId="3" borderId="1" applyAlignment="1" pivotButton="0" quotePrefix="0" xfId="0">
      <alignment horizontal="right" vertical="center"/>
    </xf>
    <xf numFmtId="167" fontId="7" fillId="3" borderId="1" applyAlignment="1" pivotButton="0" quotePrefix="0" xfId="0">
      <alignment horizontal="right" vertical="center"/>
    </xf>
    <xf numFmtId="171" fontId="7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0" fillId="0" borderId="7" pivotButton="0" quotePrefix="0" xfId="0"/>
    <xf numFmtId="171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1" fontId="8" fillId="0" borderId="1" applyAlignment="1" pivotButton="0" quotePrefix="0" xfId="0">
      <alignment horizontal="right" vertical="center"/>
    </xf>
    <xf numFmtId="0" fontId="0" fillId="0" borderId="3" pivotButton="0" quotePrefix="0" xfId="0"/>
    <xf numFmtId="1" fontId="7" fillId="0" borderId="1" applyAlignment="1" pivotButton="0" quotePrefix="0" xfId="0">
      <alignment horizontal="right" vertical="center"/>
    </xf>
    <xf numFmtId="173" fontId="7" fillId="0" borderId="1" applyAlignment="1" pivotButton="0" quotePrefix="0" xfId="0">
      <alignment horizontal="right" vertical="center"/>
    </xf>
    <xf numFmtId="174" fontId="7" fillId="0" borderId="1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171" fontId="3" fillId="0" borderId="2" applyAlignment="1" pivotButton="0" quotePrefix="0" xfId="0">
      <alignment horizontal="right" vertical="center"/>
    </xf>
    <xf numFmtId="171" fontId="3" fillId="3" borderId="1" applyAlignment="1" pivotButton="0" quotePrefix="0" xfId="0">
      <alignment horizontal="right" vertical="center"/>
    </xf>
    <xf numFmtId="171" fontId="12" fillId="2" borderId="1" applyAlignment="1" pivotButton="0" quotePrefix="0" xfId="0">
      <alignment horizontal="right" vertical="center"/>
    </xf>
    <xf numFmtId="166" fontId="12" fillId="2" borderId="1" applyAlignment="1" pivotButton="0" quotePrefix="0" xfId="0">
      <alignment horizontal="right" vertic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6F8"/>
      <rgbColor rgb="FFE6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4E9D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7D"/>
      <rgbColor rgb="FFB08D3F"/>
      <rgbColor rgb="FF0C2340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C13" authorId="0" shapeId="0">
      <text>
        <t>Dropdown: choose Low Case, Base Case, or High Case. This single switch drives revenue growth, EBITDA margin expansion, the EV/EBITDA multiple, and senior debt leverage across every tab in the model.</t>
      </text>
    </comment>
    <comment ref="C65" authorId="0" shapeId="0">
      <text>
        <t>Grounded in CIM disclosure: maintenance capex averages ~$180K/yr outside the 2023-2024 automation cycle ($0.18M / $9.4M 2025E revenue ≈ 1.9% of revenue, rounded to 2.0%). Section XXI (Historical CapEx Schedule).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G26"/>
  <sheetViews>
    <sheetView tabSelected="1" showGridLines="0" zoomScaleNormal="100" workbookViewId="0">
      <selection activeCell="A1" sqref="A1"/>
    </sheetView>
  </sheetViews>
  <sheetFormatPr baseColWidth="8" defaultColWidth="8.7109375" defaultRowHeight="15"/>
  <cols>
    <col width="3" customWidth="1" style="12" min="1" max="1"/>
    <col width="34" customWidth="1" style="12" min="2" max="2"/>
    <col width="20" customWidth="1" style="12" min="3" max="3"/>
    <col width="16" customWidth="1" style="12" min="4" max="7"/>
    <col width="4" customWidth="1" style="12" min="8" max="8"/>
  </cols>
  <sheetData>
    <row r="2" ht="25.5" customHeight="1" s="12">
      <c r="B2" s="11" t="inlineStr">
        <is>
          <t>PROJECT IRONBEND</t>
        </is>
      </c>
    </row>
    <row r="3" ht="15.75" customHeight="1" s="12">
      <c r="B3" s="10" t="inlineStr">
        <is>
          <t>Northline Precision Pipe Bending &amp; Fabrication Ltd. — Sell-Side Valuation &amp; Deal Economics Model</t>
        </is>
      </c>
    </row>
    <row r="5" ht="15" customHeight="1" s="12">
      <c r="B5" s="13" t="inlineStr">
        <is>
          <t>Strictly Private &amp; Confidential</t>
        </is>
      </c>
    </row>
    <row r="7" ht="18" customHeight="1" s="12">
      <c r="B7" s="9" t="inlineStr">
        <is>
          <t>CONTENTS</t>
        </is>
      </c>
    </row>
    <row r="8" ht="15" customHeight="1" s="12">
      <c r="B8" s="15" t="inlineStr">
        <is>
          <t>1.  Assumptions</t>
        </is>
      </c>
      <c r="C8" s="8" t="inlineStr">
        <is>
          <t>Scenario switch, historical financials, EBITDA normalization, operating, financing and DCF / WACC assumptions</t>
        </is>
      </c>
    </row>
    <row r="9" ht="15" customHeight="1" s="12">
      <c r="B9" s="15" t="inlineStr">
        <is>
          <t>2.  Income Statement</t>
        </is>
      </c>
      <c r="C9" s="8" t="inlineStr">
        <is>
          <t>Historical (2021-2025E) and 5-year projected P&amp;L (2026E-2030E), projected from 2025E Adjusted EBITDA</t>
        </is>
      </c>
    </row>
    <row r="10" ht="15" customHeight="1" s="12">
      <c r="B10" s="15" t="inlineStr">
        <is>
          <t>3.  Balance Sheet</t>
        </is>
      </c>
      <c r="C10" s="8" t="inlineStr">
        <is>
          <t>Post-close opening balance sheet (purchase price allocation) and 5-year projection</t>
        </is>
      </c>
    </row>
    <row r="11" ht="15" customHeight="1" s="12">
      <c r="B11" s="15" t="inlineStr">
        <is>
          <t>4.  Cash Flow &amp; Debt Schedule</t>
        </is>
      </c>
      <c r="C11" s="8" t="inlineStr">
        <is>
          <t>Senior debt &amp; seller note schedules, and the resulting cash flow statement</t>
        </is>
      </c>
    </row>
    <row r="12" ht="15" customHeight="1" s="12">
      <c r="B12" s="15" t="inlineStr">
        <is>
          <t>5.  Valuation</t>
        </is>
      </c>
      <c r="C12" s="8" t="inlineStr">
        <is>
          <t>Adjusted EBITDA to Enterprise Value at the active multiple; football field across methods</t>
        </is>
      </c>
    </row>
    <row r="13" ht="15" customHeight="1" s="12">
      <c r="B13" s="15" t="inlineStr">
        <is>
          <t>6.  DCF</t>
        </is>
      </c>
      <c r="C13" s="8" t="inlineStr">
        <is>
          <t>Unlevered free cash flow, WACC build, perpetuity-growth and exit-multiple terminal values, sensitivities</t>
        </is>
      </c>
    </row>
    <row r="14" ht="15" customHeight="1" s="12">
      <c r="B14" s="15" t="inlineStr">
        <is>
          <t>7.  Sources &amp; Uses</t>
        </is>
      </c>
      <c r="C14" s="8" t="inlineStr">
        <is>
          <t>Buyer funding structure (senior debt, seller note, rollover, sponsor equity) and seller net proceeds</t>
        </is>
      </c>
    </row>
    <row r="15" ht="15" customHeight="1" s="12">
      <c r="B15" s="15" t="inlineStr">
        <is>
          <t>8.  Advisor Fee</t>
        </is>
      </c>
      <c r="C15" s="8" t="inlineStr">
        <is>
          <t>Modified Lehman tiered success fee on transaction value, paid by the seller</t>
        </is>
      </c>
    </row>
    <row r="16" ht="15" customHeight="1" s="12">
      <c r="B16" s="15" t="inlineStr">
        <is>
          <t>9.  Sensitivity</t>
        </is>
      </c>
      <c r="C16" s="8" t="inlineStr">
        <is>
          <t>EV/EBITDA multiple sensitivity across Enterprise Value and advisor fee</t>
        </is>
      </c>
    </row>
    <row r="17" ht="15" customHeight="1" s="12">
      <c r="B17" s="15" t="inlineStr">
        <is>
          <t>10. Returns Analysis</t>
        </is>
      </c>
      <c r="C17" s="8" t="inlineStr">
        <is>
          <t>Illustrative 5-year sponsor MOIC / IRR at the active case</t>
        </is>
      </c>
    </row>
    <row r="18" s="12"/>
    <row r="19" ht="18" customHeight="1" s="12">
      <c r="B19" s="9" t="inlineStr">
        <is>
          <t>DEAL SNAPSHOT (per CIM)</t>
        </is>
      </c>
    </row>
    <row r="20" ht="15" customHeight="1" s="12">
      <c r="B20" s="16" t="inlineStr">
        <is>
          <t>2025E Revenue</t>
        </is>
      </c>
      <c r="D20" s="15" t="inlineStr">
        <is>
          <t>$9.4M CAD</t>
        </is>
      </c>
    </row>
    <row r="21" ht="15" customHeight="1" s="12">
      <c r="B21" s="16" t="inlineStr">
        <is>
          <t>2025E EBITDA Margin (disclosed)</t>
        </is>
      </c>
      <c r="D21" s="15" t="inlineStr">
        <is>
          <t>22.3%</t>
        </is>
      </c>
    </row>
    <row r="22" ht="15" customHeight="1" s="12">
      <c r="B22" s="16" t="inlineStr">
        <is>
          <t>Operating History</t>
        </is>
      </c>
      <c r="D22" s="15" t="inlineStr">
        <is>
          <t>31 years</t>
        </is>
      </c>
    </row>
    <row r="23" ht="15" customHeight="1" s="12">
      <c r="B23" s="16" t="inlineStr">
        <is>
          <t>CIM Indicative EV Range</t>
        </is>
      </c>
      <c r="D23" s="15" t="inlineStr">
        <is>
          <t>$9.0M – $13.0M CAD (4.5x – 6.5x Adj. EBITDA)</t>
        </is>
      </c>
    </row>
    <row r="24" s="12">
      <c r="B24" s="16" t="inlineStr">
        <is>
          <t>Model Integrity Checks (balance sheet balances; sources = uses)</t>
        </is>
      </c>
      <c r="D24" s="15" t="str">
        <f>IF(SUMPRODUCT(ABS('Balance Sheet'!C27:H27))+ABS('Sources &amp; Uses'!C20)&lt;0.0001,"OK — all checks pass","CHECK ERROR")</f>
        <v>OK — all checks pass</v>
      </c>
    </row>
    <row r="25" s="12"/>
    <row r="26" ht="30" customHeight="1" s="12">
      <c r="B26" s="7"/>
    </row>
  </sheetData>
  <mergeCells count="15">
    <mergeCell ref="B3:G3"/>
    <mergeCell ref="B2:G2"/>
    <mergeCell ref="C12:G12"/>
    <mergeCell ref="C10:G10"/>
    <mergeCell ref="C16:G16"/>
    <mergeCell ref="C15:G15"/>
    <mergeCell ref="C11:G11"/>
    <mergeCell ref="B7:E7"/>
    <mergeCell ref="B26:G26"/>
    <mergeCell ref="C14:G14"/>
    <mergeCell ref="B19:E19"/>
    <mergeCell ref="C13:G13"/>
    <mergeCell ref="C8:G8"/>
    <mergeCell ref="C9:G9"/>
    <mergeCell ref="C17:G17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04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61.5703125" bestFit="1" customWidth="1" style="12" min="2" max="2"/>
    <col width="13" customWidth="1" style="12" min="3" max="4"/>
    <col width="17" customWidth="1" style="12" min="5" max="5"/>
    <col width="18" customWidth="1" style="12" min="6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KEY ASSUMPTIONS &amp; INPUTS</t>
        </is>
      </c>
    </row>
    <row r="4" ht="18" customHeight="1" s="12">
      <c r="B4" s="9" t="inlineStr">
        <is>
          <t>Transaction Overview</t>
        </is>
      </c>
    </row>
    <row r="5" ht="15" customHeight="1" s="12">
      <c r="B5" s="16" t="inlineStr">
        <is>
          <t>Target Company</t>
        </is>
      </c>
      <c r="C5" s="6" t="inlineStr">
        <is>
          <t>Northline Precision Pipe Bending &amp; Fabrication Ltd. ('Project Ironbend')</t>
        </is>
      </c>
    </row>
    <row r="6" ht="15" customHeight="1" s="12">
      <c r="B6" s="16" t="inlineStr">
        <is>
          <t>Industry</t>
        </is>
      </c>
      <c r="C6" s="6" t="inlineStr">
        <is>
          <t>ASME 'U'-Stamp &amp; National Board Certified Pipe Bending / Pressure Vessel Fabrication</t>
        </is>
      </c>
    </row>
    <row r="7" ht="15" customHeight="1" s="12">
      <c r="B7" s="16" t="inlineStr">
        <is>
          <t>Location</t>
        </is>
      </c>
      <c r="C7" s="6" t="inlineStr">
        <is>
          <t>Edmonton, Alberta, Canada</t>
        </is>
      </c>
    </row>
    <row r="8" ht="15" customHeight="1" s="12">
      <c r="B8" s="16" t="inlineStr">
        <is>
          <t>Reporting Currency / Units</t>
        </is>
      </c>
      <c r="C8" s="6" t="inlineStr">
        <is>
          <t>CAD $ in millions, unless otherwise noted</t>
        </is>
      </c>
    </row>
    <row r="9" ht="15" customHeight="1" s="12">
      <c r="B9" s="16" t="inlineStr">
        <is>
          <t>Assumed Transaction Structure</t>
        </is>
      </c>
      <c r="C9" s="6" t="inlineStr">
        <is>
          <t>Cash-Free, Debt-Free (CFDF) at close</t>
        </is>
      </c>
    </row>
    <row r="10" ht="15" customHeight="1" s="12">
      <c r="B10" s="16" t="inlineStr">
        <is>
          <t>Assumed Close / Projection Start</t>
        </is>
      </c>
      <c r="C10" s="6" t="inlineStr">
        <is>
          <t>2025E year-end; Post-Close Years 1-5 = 2026E-2030E</t>
        </is>
      </c>
    </row>
    <row r="11" ht="15" customHeight="1" s="12">
      <c r="B11" s="16" t="inlineStr">
        <is>
          <t>Customer Concentration (per CIM, Section XII)</t>
        </is>
      </c>
      <c r="C11" s="5" t="inlineStr">
        <is>
          <t>Top 5 customers ~59% of revenue; no single customer exceeds ~18%</t>
        </is>
      </c>
    </row>
    <row r="12" ht="18" customHeight="1" s="12">
      <c r="B12" s="9" t="inlineStr">
        <is>
          <t>SCENARIO CASE SWITCH  —  Drives Growth, Margin, Multiple &amp; Leverage Throughout the Model</t>
        </is>
      </c>
    </row>
    <row r="13" ht="15" customHeight="1" s="12">
      <c r="B13" s="13" t="inlineStr">
        <is>
          <t>Selected Scenario</t>
        </is>
      </c>
      <c r="C13" s="4" t="inlineStr">
        <is>
          <t>Base Case</t>
        </is>
      </c>
      <c r="D13" s="73" t="n"/>
    </row>
    <row r="15" ht="15" customHeight="1" s="12">
      <c r="B15" s="18" t="inlineStr">
        <is>
          <t>Scenario Driver</t>
        </is>
      </c>
      <c r="C15" s="19" t="inlineStr">
        <is>
          <t>Low Case</t>
        </is>
      </c>
      <c r="D15" s="19" t="inlineStr">
        <is>
          <t>Base Case</t>
        </is>
      </c>
      <c r="E15" s="19" t="inlineStr">
        <is>
          <t>High Case</t>
        </is>
      </c>
      <c r="F15" s="18" t="n"/>
    </row>
    <row r="16" ht="15" customHeight="1" s="12">
      <c r="B16" s="20" t="inlineStr">
        <is>
          <t>Revenue Growth (2026E-2030E, p.a.)</t>
        </is>
      </c>
      <c r="C16" s="21" t="n">
        <v>0.03</v>
      </c>
      <c r="D16" s="21" t="n">
        <v>0.055</v>
      </c>
      <c r="E16" s="21" t="n">
        <v>0.08</v>
      </c>
    </row>
    <row r="17" ht="15" customHeight="1" s="12">
      <c r="B17" s="20" t="inlineStr">
        <is>
          <t>EBITDA Margin Expansion (bps / year)</t>
        </is>
      </c>
      <c r="C17" s="22" t="n">
        <v>25</v>
      </c>
      <c r="D17" s="22" t="n">
        <v>50</v>
      </c>
      <c r="E17" s="22" t="n">
        <v>90</v>
      </c>
    </row>
    <row r="18" ht="15" customHeight="1" s="12">
      <c r="B18" s="20" t="inlineStr">
        <is>
          <t>EV / EBITDA Multiple (Entry &amp; Exit)</t>
        </is>
      </c>
      <c r="C18" s="23" t="n">
        <v>4.5</v>
      </c>
      <c r="D18" s="23" t="n">
        <v>5.5</v>
      </c>
      <c r="E18" s="23" t="n">
        <v>6.5</v>
      </c>
    </row>
    <row r="19" ht="15" customHeight="1" s="12">
      <c r="B19" s="20" t="inlineStr">
        <is>
          <t>Senior Debt Leverage (x Adj. EBITDA)</t>
        </is>
      </c>
      <c r="C19" s="23" t="n">
        <v>2</v>
      </c>
      <c r="D19" s="23" t="n">
        <v>2.5</v>
      </c>
      <c r="E19" s="23" t="n">
        <v>3</v>
      </c>
    </row>
    <row r="21" ht="15" customHeight="1" s="12">
      <c r="B21" s="13" t="inlineStr">
        <is>
          <t>Active Case Drivers  (auto-selected from Selected Scenario above)</t>
        </is>
      </c>
    </row>
    <row r="22" ht="15" customHeight="1" s="12">
      <c r="B22" s="16" t="inlineStr">
        <is>
          <t>Revenue Growth (Active)</t>
        </is>
      </c>
      <c r="C22" s="24">
        <f>INDEX(C16:E16,MATCH(C13,$C$15:$E$15,0))</f>
        <v>0.055</v>
      </c>
    </row>
    <row r="23" ht="15" customHeight="1" s="12">
      <c r="B23" s="16" t="inlineStr">
        <is>
          <t>EBITDA Margin Expansion (Active, bps/yr)</t>
        </is>
      </c>
      <c r="C23" s="25">
        <f>INDEX(C17:E17,MATCH(C13,$C$15:$E$15,0))</f>
        <v>50</v>
      </c>
    </row>
    <row r="24" ht="15" customHeight="1" s="12">
      <c r="B24" s="16" t="inlineStr">
        <is>
          <t>EV / EBITDA Multiple (Active)</t>
        </is>
      </c>
      <c r="C24" s="26">
        <f>INDEX(C18:E18,MATCH(C13,$C$15:$E$15,0))</f>
        <v>5.5</v>
      </c>
    </row>
    <row r="25" ht="15" customHeight="1" s="12">
      <c r="B25" s="16" t="inlineStr">
        <is>
          <t>Senior Debt Leverage (Active)</t>
        </is>
      </c>
      <c r="C25" s="26">
        <f>INDEX(C19:E19,MATCH(C13,$C$15:$E$15,0))</f>
        <v>2.5</v>
      </c>
    </row>
    <row r="27" ht="18.75" customHeight="1" s="12">
      <c r="B27" s="7"/>
    </row>
    <row r="29" ht="18" customHeight="1" s="12">
      <c r="B29" s="9" t="inlineStr">
        <is>
          <t>Historical Financials  (per CIM §IX, p.10)</t>
        </is>
      </c>
    </row>
    <row r="30" ht="15" customHeight="1" s="12">
      <c r="B30" s="18" t="inlineStr">
        <is>
          <t>Fiscal Year</t>
        </is>
      </c>
      <c r="C30" s="19" t="inlineStr">
        <is>
          <t>Revenue ($M)</t>
        </is>
      </c>
      <c r="D30" s="19" t="inlineStr">
        <is>
          <t>YoY Growth</t>
        </is>
      </c>
      <c r="E30" s="19" t="inlineStr">
        <is>
          <t>EBITDA Margin (%)</t>
        </is>
      </c>
      <c r="F30" s="19" t="inlineStr">
        <is>
          <t>Implied EBITDA ($M)</t>
        </is>
      </c>
    </row>
    <row r="31" ht="15" customHeight="1" s="12">
      <c r="B31" s="27" t="inlineStr">
        <is>
          <t>2021</t>
        </is>
      </c>
      <c r="C31" s="28" t="n">
        <v>6.8</v>
      </c>
      <c r="D31" s="29" t="n"/>
      <c r="E31" s="21" t="n">
        <v>0.162</v>
      </c>
      <c r="F31" s="30">
        <f>C31*E31</f>
        <v>1.1016</v>
      </c>
    </row>
    <row r="32" ht="15" customHeight="1" s="12">
      <c r="B32" s="27" t="inlineStr">
        <is>
          <t>2022</t>
        </is>
      </c>
      <c r="C32" s="28" t="n">
        <v>7.6</v>
      </c>
      <c r="D32" s="29">
        <f>C32/C31-1</f>
        <v>0.117647058823529</v>
      </c>
      <c r="E32" s="21" t="n">
        <v>0.178</v>
      </c>
      <c r="F32" s="30">
        <f>C32*E32</f>
        <v>1.3528</v>
      </c>
    </row>
    <row r="33" ht="15" customHeight="1" s="12">
      <c r="B33" s="27" t="inlineStr">
        <is>
          <t>2023</t>
        </is>
      </c>
      <c r="C33" s="28" t="n">
        <v>8.300000000000001</v>
      </c>
      <c r="D33" s="29">
        <f>C33/C32-1</f>
        <v>0.0921052631578949</v>
      </c>
      <c r="E33" s="21" t="n">
        <v>0.193</v>
      </c>
      <c r="F33" s="30">
        <f>C33*E33</f>
        <v>1.6019</v>
      </c>
    </row>
    <row r="34" ht="15" customHeight="1" s="12">
      <c r="B34" s="27" t="inlineStr">
        <is>
          <t>2024</t>
        </is>
      </c>
      <c r="C34" s="28" t="n">
        <v>8.9</v>
      </c>
      <c r="D34" s="29">
        <f>C34/C33-1</f>
        <v>0.072289156626506</v>
      </c>
      <c r="E34" s="21" t="n">
        <v>0.208</v>
      </c>
      <c r="F34" s="30">
        <f>C34*E34</f>
        <v>1.8512</v>
      </c>
    </row>
    <row r="35" ht="15" customHeight="1" s="12">
      <c r="B35" s="27" t="inlineStr">
        <is>
          <t>2025E</t>
        </is>
      </c>
      <c r="C35" s="28" t="n">
        <v>9.4</v>
      </c>
      <c r="D35" s="29">
        <f>C35/C34-1</f>
        <v>0.0561797752808988</v>
      </c>
      <c r="E35" s="21" t="n">
        <v>0.223</v>
      </c>
      <c r="F35" s="30">
        <f>C35*E35</f>
        <v>2.0962</v>
      </c>
    </row>
    <row r="36" ht="15" customHeight="1" s="12">
      <c r="B36" s="13" t="inlineStr">
        <is>
          <t>Revenue CAGR (2021 – 2025E)</t>
        </is>
      </c>
      <c r="C36" s="31">
        <f>(C35/C31)^(1/4)-1</f>
        <v>0.0843131762523737</v>
      </c>
    </row>
    <row r="39" ht="18" customHeight="1" s="12">
      <c r="B39" s="9" t="inlineStr">
        <is>
          <t>EBITDA Normalization (2025E)  —  per CIM §X, p.11, management-indicated, preliminary</t>
        </is>
      </c>
    </row>
    <row r="40" ht="15" customHeight="1" s="12">
      <c r="B40" s="18" t="inlineStr">
        <is>
          <t>Line Item</t>
        </is>
      </c>
      <c r="C40" s="19" t="inlineStr">
        <is>
          <t>$M CAD</t>
        </is>
      </c>
      <c r="D40" s="18" t="n"/>
      <c r="E40" s="18" t="n"/>
      <c r="F40" s="18" t="n"/>
    </row>
    <row r="41" ht="15" customHeight="1" s="12">
      <c r="B41" s="16" t="inlineStr">
        <is>
          <t>Reported EBITDA (2025E)</t>
        </is>
      </c>
      <c r="C41" s="28" t="n">
        <v>1.65</v>
      </c>
    </row>
    <row r="42" ht="15" customHeight="1" s="12">
      <c r="B42" s="16" t="inlineStr">
        <is>
          <t>(+) Owner Compensation Add-Back</t>
        </is>
      </c>
      <c r="C42" s="28" t="n">
        <v>0.28</v>
      </c>
    </row>
    <row r="43" ht="15" customHeight="1" s="12">
      <c r="B43" s="16" t="inlineStr">
        <is>
          <t>(+) Non-Recurring Legal / Advisory Costs</t>
        </is>
      </c>
      <c r="C43" s="28" t="n">
        <v>0.09</v>
      </c>
    </row>
    <row r="44" ht="15" customHeight="1" s="12">
      <c r="B44" s="16" t="inlineStr">
        <is>
          <t>(+) One-Time Equipment Relocation</t>
        </is>
      </c>
      <c r="C44" s="28" t="n">
        <v>0.06</v>
      </c>
    </row>
    <row r="45" ht="15" customHeight="1" s="12">
      <c r="B45" s="16" t="inlineStr">
        <is>
          <t>(–) Normalized Market-Rate Management Cost</t>
        </is>
      </c>
      <c r="C45" s="28" t="n">
        <v>-0.08</v>
      </c>
    </row>
    <row r="46" ht="15" customHeight="1" s="12">
      <c r="B46" s="13" t="inlineStr">
        <is>
          <t>Adjusted EBITDA (2025E)</t>
        </is>
      </c>
      <c r="C46" s="32">
        <f>SUM(C41:C45)</f>
        <v>2</v>
      </c>
    </row>
    <row r="47" ht="15" customHeight="1" s="12">
      <c r="B47" s="16" t="inlineStr">
        <is>
          <t>Adjusted EBITDA Margin (% of 2025E Revenue)</t>
        </is>
      </c>
      <c r="C47" s="33">
        <f>C46/C35</f>
        <v>0.212765957446809</v>
      </c>
    </row>
    <row r="50" ht="18" customHeight="1" s="12">
      <c r="B50" s="9" t="inlineStr">
        <is>
          <t>Valuation Assumptions  (linked to Active Case)</t>
        </is>
      </c>
    </row>
    <row r="51" ht="15" customHeight="1" s="12">
      <c r="B51" s="13" t="inlineStr">
        <is>
          <t>Selected EV / Adjusted EBITDA Multiple (Active Case)</t>
        </is>
      </c>
      <c r="C51" s="34">
        <f>C24</f>
        <v>5.5</v>
      </c>
    </row>
    <row r="52" ht="15" customHeight="1" s="12">
      <c r="B52" s="16" t="inlineStr">
        <is>
          <t>Football Field — Low Multiple (Low Case)</t>
        </is>
      </c>
      <c r="C52" s="35">
        <f>C18</f>
        <v>4.5</v>
      </c>
    </row>
    <row r="53" ht="15" customHeight="1" s="12">
      <c r="B53" s="16" t="inlineStr">
        <is>
          <t>Football Field — High Multiple (High Case)</t>
        </is>
      </c>
      <c r="C53" s="35">
        <f>E18</f>
        <v>6.5</v>
      </c>
    </row>
    <row r="54" ht="15" customHeight="1" s="12">
      <c r="B54" s="16" t="inlineStr">
        <is>
          <t>Net Debt at Close (CFDF assumption)</t>
        </is>
      </c>
      <c r="C54" s="28" t="n">
        <v>0</v>
      </c>
    </row>
    <row r="56" ht="18" customHeight="1" s="12">
      <c r="B56" s="9" t="inlineStr">
        <is>
          <t>Sources &amp; Uses Assumptions</t>
        </is>
      </c>
    </row>
    <row r="57" ht="15" customHeight="1" s="12">
      <c r="B57" s="13" t="inlineStr">
        <is>
          <t>Senior Debt Leverage (x Adjusted EBITDA, Active Case)</t>
        </is>
      </c>
      <c r="C57" s="34">
        <f>C25</f>
        <v>2.5</v>
      </c>
    </row>
    <row r="58" ht="15" customHeight="1" s="12">
      <c r="B58" s="13" t="inlineStr">
        <is>
          <t>Seller Note (% of Enterprise Value)</t>
        </is>
      </c>
      <c r="C58" s="36" t="n">
        <v>0.1</v>
      </c>
    </row>
    <row r="59" ht="15" customHeight="1" s="12">
      <c r="B59" s="13" t="inlineStr">
        <is>
          <t>Seller Equity Rollover (% of Enterprise Value)</t>
        </is>
      </c>
      <c r="C59" s="36" t="n">
        <v>0.15</v>
      </c>
    </row>
    <row r="60" ht="15" customHeight="1" s="12">
      <c r="B60" s="16" t="inlineStr">
        <is>
          <t>Buyer Transaction Expenses (% of EV: legal, QoE, accounting; expensed at close)</t>
        </is>
      </c>
      <c r="C60" s="21" t="n">
        <v>0.01</v>
      </c>
    </row>
    <row r="62" ht="18" customHeight="1" s="12">
      <c r="B62" s="9" t="inlineStr">
        <is>
          <t>Operating &amp; Balance Sheet Assumptions  (Illustrative — Not Disclosed in CIM)</t>
        </is>
      </c>
    </row>
    <row r="63" ht="15" customHeight="1" s="12">
      <c r="B63" s="16" t="inlineStr">
        <is>
          <t>Gross Margin (held constant; CIM p.6 segment mix: 58% × 34% + 42% × 41% ≈ 37%)</t>
        </is>
      </c>
      <c r="C63" s="21" t="n">
        <v>0.37</v>
      </c>
    </row>
    <row r="64" ht="15" customHeight="1" s="12">
      <c r="B64" s="16" t="inlineStr">
        <is>
          <t>Depreciation &amp; Amortization (% of Revenue)</t>
        </is>
      </c>
      <c r="C64" s="21" t="n">
        <v>0.03</v>
      </c>
    </row>
    <row r="65" ht="15" customHeight="1" s="12">
      <c r="B65" s="16" t="inlineStr">
        <is>
          <t>Capital Expenditures (% of Revenue)</t>
        </is>
      </c>
      <c r="C65" s="21" t="n">
        <v>0.02</v>
      </c>
    </row>
    <row r="66" ht="15" customHeight="1" s="12">
      <c r="B66" s="16" t="inlineStr">
        <is>
          <t>Accounts Receivable (% of Revenue, ~DSO proxy)</t>
        </is>
      </c>
      <c r="C66" s="21" t="n">
        <v>0.12</v>
      </c>
    </row>
    <row r="67" ht="15" customHeight="1" s="12">
      <c r="B67" s="16" t="inlineStr">
        <is>
          <t>Inventory (% of COGS)</t>
        </is>
      </c>
      <c r="C67" s="21" t="n">
        <v>0.1</v>
      </c>
    </row>
    <row r="68" ht="15" customHeight="1" s="12">
      <c r="B68" s="16" t="inlineStr">
        <is>
          <t>Accounts Payable (% of COGS)</t>
        </is>
      </c>
      <c r="C68" s="21" t="n">
        <v>0.08</v>
      </c>
    </row>
    <row r="69" ht="15" customHeight="1" s="12">
      <c r="B69" s="16" t="inlineStr">
        <is>
          <t>Net PP&amp;E (% of Revenue, Day-1 estimate)</t>
        </is>
      </c>
      <c r="C69" s="21" t="n">
        <v>0.3</v>
      </c>
    </row>
    <row r="70" ht="15" customHeight="1" s="12">
      <c r="B70" s="16" t="inlineStr">
        <is>
          <t>Minimum Operating Cash ($M; funded at close as a use of funds)</t>
        </is>
      </c>
      <c r="C70" s="28" t="n">
        <v>0.3</v>
      </c>
    </row>
    <row r="71" ht="15" customHeight="1" s="12">
      <c r="B71" s="16" t="inlineStr">
        <is>
          <t>Corporate Tax Rate (illustrative, Alberta + Federal blended)</t>
        </is>
      </c>
      <c r="C71" s="21" t="n">
        <v>0.25</v>
      </c>
    </row>
    <row r="73" ht="18" customHeight="1" s="12">
      <c r="B73" s="9" t="inlineStr">
        <is>
          <t>Debt Financing Assumptions</t>
        </is>
      </c>
    </row>
    <row r="74" ht="15" customHeight="1" s="12">
      <c r="B74" s="16" t="inlineStr">
        <is>
          <t>Senior Debt Interest Rate (per annum)</t>
        </is>
      </c>
      <c r="C74" s="74" t="n">
        <v>0.08749999999999999</v>
      </c>
    </row>
    <row r="75" ht="15" customHeight="1" s="12">
      <c r="B75" s="16" t="inlineStr">
        <is>
          <t>Senior Debt Amortization Term (years, straight-line)</t>
        </is>
      </c>
      <c r="C75" s="37" t="n">
        <v>6</v>
      </c>
    </row>
    <row r="76" ht="15" customHeight="1" s="12">
      <c r="B76" s="16" t="inlineStr">
        <is>
          <t>Seller Note Interest Rate (interest-only; bullet at exit)</t>
        </is>
      </c>
      <c r="C76" s="21" t="n">
        <v>0.08</v>
      </c>
    </row>
    <row r="79" ht="18" customHeight="1" s="12">
      <c r="B79" s="9" t="inlineStr">
        <is>
          <t>Advisor Fee Assumptions — Modified Lehman Formula (Success Fee on Transaction Value)</t>
        </is>
      </c>
    </row>
    <row r="80" ht="15" customHeight="1" s="12">
      <c r="B80" s="18" t="inlineStr">
        <is>
          <t>Tier</t>
        </is>
      </c>
      <c r="C80" s="19" t="inlineStr">
        <is>
          <t>From ($M)</t>
        </is>
      </c>
      <c r="D80" s="19" t="inlineStr">
        <is>
          <t>To ($M)</t>
        </is>
      </c>
      <c r="E80" s="19" t="inlineStr">
        <is>
          <t>Fee Rate (%)</t>
        </is>
      </c>
      <c r="F80" s="18" t="n"/>
    </row>
    <row r="81" ht="15" customHeight="1" s="12">
      <c r="B81" s="20" t="inlineStr">
        <is>
          <t>Tier 1</t>
        </is>
      </c>
      <c r="C81" s="38" t="n">
        <v>0</v>
      </c>
      <c r="D81" s="38" t="n">
        <v>5</v>
      </c>
      <c r="E81" s="21" t="n">
        <v>0.07000000000000001</v>
      </c>
    </row>
    <row r="82" ht="15" customHeight="1" s="12">
      <c r="B82" s="20" t="inlineStr">
        <is>
          <t>Tier 2</t>
        </is>
      </c>
      <c r="C82" s="38" t="n">
        <v>5</v>
      </c>
      <c r="D82" s="38" t="n">
        <v>10</v>
      </c>
      <c r="E82" s="21" t="n">
        <v>0.06</v>
      </c>
    </row>
    <row r="83" ht="15" customHeight="1" s="12">
      <c r="B83" s="20" t="inlineStr">
        <is>
          <t>Tier 3</t>
        </is>
      </c>
      <c r="C83" s="38" t="n">
        <v>10</v>
      </c>
      <c r="D83" s="38" t="n">
        <v>15</v>
      </c>
      <c r="E83" s="21" t="n">
        <v>0.05</v>
      </c>
    </row>
    <row r="84" ht="15" customHeight="1" s="12">
      <c r="B84" s="20" t="inlineStr">
        <is>
          <t>Tier 4</t>
        </is>
      </c>
      <c r="C84" s="38" t="n">
        <v>15</v>
      </c>
      <c r="D84" s="38" t="n">
        <v>20</v>
      </c>
      <c r="E84" s="21" t="n">
        <v>0.04</v>
      </c>
    </row>
    <row r="85" ht="15" customHeight="1" s="12">
      <c r="B85" s="20" t="inlineStr">
        <is>
          <t>Tier 5 (&gt; $20.0M)</t>
        </is>
      </c>
      <c r="C85" s="38" t="n">
        <v>20</v>
      </c>
      <c r="D85" s="39" t="n">
        <v>9999</v>
      </c>
      <c r="E85" s="21" t="n">
        <v>0.03</v>
      </c>
    </row>
    <row r="86" ht="15" customHeight="1" s="12">
      <c r="B86" s="13" t="inlineStr">
        <is>
          <t>Minimum Fee Floor ($M)</t>
        </is>
      </c>
      <c r="C86" s="40" t="n">
        <v>0.25</v>
      </c>
    </row>
    <row r="88" ht="27" customHeight="1" s="12">
      <c r="B88" s="7"/>
    </row>
    <row r="91" ht="18" customHeight="1" s="12">
      <c r="B91" s="9" t="inlineStr">
        <is>
          <t>DCF &amp; WACC Assumptions  (Illustrative — Not Disclosed in CIM)</t>
        </is>
      </c>
    </row>
    <row r="92">
      <c r="B92" s="16" t="inlineStr">
        <is>
          <t>Risk-Free Rate (Government of Canada 10-yr bond yield)</t>
        </is>
      </c>
      <c r="C92" s="74" t="n">
        <v>0.0325</v>
      </c>
    </row>
    <row r="93">
      <c r="B93" s="16" t="inlineStr">
        <is>
          <t>Equity Risk Premium (Canada, long-run)</t>
        </is>
      </c>
      <c r="C93" s="74" t="n">
        <v>0.055</v>
      </c>
    </row>
    <row r="94">
      <c r="B94" s="16" t="inlineStr">
        <is>
          <t>Unlevered Beta (industrial fabrication / energy-services peers)</t>
        </is>
      </c>
      <c r="C94" s="75" t="n">
        <v>0.95</v>
      </c>
    </row>
    <row r="95">
      <c r="B95" s="16" t="inlineStr">
        <is>
          <t>Size Premium (micro-cap / lower middle market)</t>
        </is>
      </c>
      <c r="C95" s="74" t="n">
        <v>0.05</v>
      </c>
    </row>
    <row r="96">
      <c r="B96" s="16" t="inlineStr">
        <is>
          <t>Company-Specific Risk Premium (concentration, key person)</t>
        </is>
      </c>
      <c r="C96" s="74" t="n">
        <v>0.04</v>
      </c>
    </row>
    <row r="97">
      <c r="B97" s="16" t="inlineStr">
        <is>
          <t>Target Debt / Total Capitalization (long-run, for WACC)</t>
        </is>
      </c>
      <c r="C97" s="21" t="n">
        <v>0.3</v>
      </c>
    </row>
    <row r="98">
      <c r="B98" s="16" t="inlineStr">
        <is>
          <t>Pre-Tax Cost of Debt (= senior debt rate above)</t>
        </is>
      </c>
      <c r="C98" s="65">
        <f>C74</f>
        <v>0.0875</v>
      </c>
    </row>
    <row r="99">
      <c r="B99" s="16" t="inlineStr">
        <is>
          <t>Terminal (Perpetuity) Growth Rate</t>
        </is>
      </c>
      <c r="C99" s="74" t="n">
        <v>0.025</v>
      </c>
    </row>
    <row r="100">
      <c r="B100" s="16" t="inlineStr">
        <is>
          <t>Mid-Year Discounting Convention (1 = on, 0 = off)</t>
        </is>
      </c>
      <c r="C100" s="76" t="n">
        <v>1</v>
      </c>
    </row>
    <row r="101">
      <c r="B101" s="16" t="inlineStr">
        <is>
          <t>Precedent Transactions — Low EV / Adj. EBITDA (CIM §XVII, p.18)</t>
        </is>
      </c>
      <c r="C101" s="23" t="n">
        <v>5.2</v>
      </c>
    </row>
    <row r="102">
      <c r="B102" s="16" t="inlineStr">
        <is>
          <t>Precedent Transactions — High EV / Adj. EBITDA (CIM §XVII, p.18)</t>
        </is>
      </c>
      <c r="C102" s="23" t="n">
        <v>6.1</v>
      </c>
    </row>
    <row r="104" ht="27" customHeight="1" s="12">
      <c r="B104" s="7"/>
    </row>
  </sheetData>
  <mergeCells count="22">
    <mergeCell ref="B4:F4"/>
    <mergeCell ref="B91:F91"/>
    <mergeCell ref="B62:F62"/>
    <mergeCell ref="C8:F8"/>
    <mergeCell ref="C7:F7"/>
    <mergeCell ref="B56:F56"/>
    <mergeCell ref="B27:F27"/>
    <mergeCell ref="B12:F12"/>
    <mergeCell ref="B39:F39"/>
    <mergeCell ref="B2:F2"/>
    <mergeCell ref="C6:F6"/>
    <mergeCell ref="C5:F5"/>
    <mergeCell ref="B88:F88"/>
    <mergeCell ref="B73:F73"/>
    <mergeCell ref="B29:F29"/>
    <mergeCell ref="C10:F10"/>
    <mergeCell ref="C9:F9"/>
    <mergeCell ref="B104:F104"/>
    <mergeCell ref="B79:F79"/>
    <mergeCell ref="C13:D13"/>
    <mergeCell ref="C11:F11"/>
    <mergeCell ref="B50:F50"/>
  </mergeCells>
  <dataValidations count="1">
    <dataValidation sqref="C13" showDropDown="0" showInputMessage="0" showErrorMessage="0" allowBlank="0" errorTitle="Invalid entry" error="Please select Low Case, Base Case, or High Case." promptTitle="Scenario Selector" prompt="Choose the scenario to drive the model" type="list">
      <formula1>"Low Case,Base Case,High Case"</formula1>
      <formula2>0</formula2>
    </dataValidation>
  </dataValidations>
  <pageMargins left="0.3" right="0.3" top="0.4" bottom="0.4" header="0.511811023622047" footer="0.511811023622047"/>
  <pageSetup orientation="landscape" paperSize="9" fitToHeight="0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L20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38" customWidth="1" style="12" min="2" max="2"/>
    <col width="10" customWidth="1" style="12" min="3" max="12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INCOME STATEMENT</t>
        </is>
      </c>
    </row>
    <row r="3" ht="15.75" customHeight="1" s="12">
      <c r="B3" s="3" t="inlineStr">
        <is>
          <t>Historical (per CIM) &amp; Projected (Illustrative, Post-Close Years 1-5)</t>
        </is>
      </c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</row>
    <row r="5" ht="15" customHeight="1" s="12">
      <c r="B5" s="18" t="inlineStr">
        <is>
          <t>($M CAD)</t>
        </is>
      </c>
      <c r="C5" s="19" t="inlineStr">
        <is>
          <t>2021</t>
        </is>
      </c>
      <c r="D5" s="19" t="inlineStr">
        <is>
          <t>2022</t>
        </is>
      </c>
      <c r="E5" s="19" t="inlineStr">
        <is>
          <t>2023</t>
        </is>
      </c>
      <c r="F5" s="19" t="inlineStr">
        <is>
          <t>2024</t>
        </is>
      </c>
      <c r="G5" s="19" t="inlineStr">
        <is>
          <t>2025E</t>
        </is>
      </c>
      <c r="H5" s="19" t="inlineStr">
        <is>
          <t>2026E</t>
        </is>
      </c>
      <c r="I5" s="19" t="inlineStr">
        <is>
          <t>2027E</t>
        </is>
      </c>
      <c r="J5" s="19" t="inlineStr">
        <is>
          <t>2028E</t>
        </is>
      </c>
      <c r="K5" s="19" t="inlineStr">
        <is>
          <t>2029E</t>
        </is>
      </c>
      <c r="L5" s="19" t="inlineStr">
        <is>
          <t>2030E</t>
        </is>
      </c>
    </row>
    <row r="6" ht="15" customHeight="1" s="12">
      <c r="B6" s="13" t="inlineStr">
        <is>
          <t>Revenue</t>
        </is>
      </c>
      <c r="C6" s="41">
        <f>Assumptions!C31</f>
        <v>6.8</v>
      </c>
      <c r="D6" s="41">
        <f>Assumptions!C32</f>
        <v>7.6</v>
      </c>
      <c r="E6" s="41">
        <f>Assumptions!C33</f>
        <v>8.3</v>
      </c>
      <c r="F6" s="41">
        <f>Assumptions!C34</f>
        <v>8.9</v>
      </c>
      <c r="G6" s="41">
        <f>Assumptions!C35</f>
        <v>9.4</v>
      </c>
      <c r="H6" s="42">
        <f>G6*(1+Assumptions!C22)</f>
        <v>9.917</v>
      </c>
      <c r="I6" s="42">
        <f>H6*(1+Assumptions!C22)</f>
        <v>10.462435</v>
      </c>
      <c r="J6" s="42">
        <f>I6*(1+Assumptions!C22)</f>
        <v>11.037868925</v>
      </c>
      <c r="K6" s="42">
        <f>J6*(1+Assumptions!C22)</f>
        <v>11.644951715875</v>
      </c>
      <c r="L6" s="42">
        <f>K6*(1+Assumptions!C22)</f>
        <v>12.2854240602481</v>
      </c>
    </row>
    <row r="7" ht="15" customHeight="1" s="12">
      <c r="B7" s="16" t="inlineStr">
        <is>
          <t>Revenue Growth %</t>
        </is>
      </c>
      <c r="D7" s="29">
        <f>D6/C6-1</f>
        <v>0.117647058823529</v>
      </c>
      <c r="E7" s="29">
        <f>E6/D6-1</f>
        <v>0.0921052631578949</v>
      </c>
      <c r="F7" s="29">
        <f>F6/E6-1</f>
        <v>0.072289156626506</v>
      </c>
      <c r="G7" s="29">
        <f>G6/F6-1</f>
        <v>0.0561797752808988</v>
      </c>
      <c r="H7" s="43">
        <f>H6/G6-1</f>
        <v>0.0549999999999999</v>
      </c>
      <c r="I7" s="43">
        <f>I6/H6-1</f>
        <v>0.0549999999999999</v>
      </c>
      <c r="J7" s="43">
        <f>J6/I6-1</f>
        <v>0.0549999999999999</v>
      </c>
      <c r="K7" s="43">
        <f>K6/J6-1</f>
        <v>0.0549999999999999</v>
      </c>
      <c r="L7" s="43">
        <f>L6/K6-1</f>
        <v>0.0549999999999999</v>
      </c>
    </row>
    <row r="8" ht="15" customHeight="1" s="12">
      <c r="B8" s="16" t="inlineStr">
        <is>
          <t>Gross Margin % (assumption)</t>
        </is>
      </c>
      <c r="C8" s="44">
        <f>Assumptions!C63</f>
        <v>0.37</v>
      </c>
      <c r="D8" s="44">
        <f>Assumptions!C63</f>
        <v>0.37</v>
      </c>
      <c r="E8" s="44">
        <f>Assumptions!C63</f>
        <v>0.37</v>
      </c>
      <c r="F8" s="44">
        <f>Assumptions!C63</f>
        <v>0.37</v>
      </c>
      <c r="G8" s="44">
        <f>Assumptions!C63</f>
        <v>0.37</v>
      </c>
      <c r="H8" s="45">
        <f>Assumptions!C63</f>
        <v>0.37</v>
      </c>
      <c r="I8" s="45">
        <f>Assumptions!C63</f>
        <v>0.37</v>
      </c>
      <c r="J8" s="45">
        <f>Assumptions!C63</f>
        <v>0.37</v>
      </c>
      <c r="K8" s="45">
        <f>Assumptions!C63</f>
        <v>0.37</v>
      </c>
      <c r="L8" s="45">
        <f>Assumptions!C63</f>
        <v>0.37</v>
      </c>
    </row>
    <row r="9" ht="15" customHeight="1" s="12">
      <c r="B9" s="13" t="inlineStr">
        <is>
          <t>Gross Profit</t>
        </is>
      </c>
      <c r="C9" s="46">
        <f>C6*C8</f>
        <v>2.516</v>
      </c>
      <c r="D9" s="46">
        <f>D6*D8</f>
        <v>2.812</v>
      </c>
      <c r="E9" s="46">
        <f>E6*E8</f>
        <v>3.071</v>
      </c>
      <c r="F9" s="46">
        <f>F6*F8</f>
        <v>3.293</v>
      </c>
      <c r="G9" s="46">
        <f>G6*G8</f>
        <v>3.478</v>
      </c>
      <c r="H9" s="42">
        <f>H6*H8</f>
        <v>3.66929</v>
      </c>
      <c r="I9" s="42">
        <f>I6*I8</f>
        <v>3.87110095</v>
      </c>
      <c r="J9" s="42">
        <f>J6*J8</f>
        <v>4.08401150225</v>
      </c>
      <c r="K9" s="42">
        <f>K6*K8</f>
        <v>4.30863213487375</v>
      </c>
      <c r="L9" s="42">
        <f>L6*L8</f>
        <v>4.54560690229181</v>
      </c>
    </row>
    <row r="10" ht="15" customHeight="1" s="12">
      <c r="B10" s="16" t="inlineStr">
        <is>
          <t>EBITDA Margin % (2021–24 disclosed; 2025E = Adjusted, projection base)</t>
        </is>
      </c>
      <c r="C10" s="44">
        <f>Assumptions!E31</f>
        <v>0.162</v>
      </c>
      <c r="D10" s="44">
        <f>Assumptions!E32</f>
        <v>0.178</v>
      </c>
      <c r="E10" s="44">
        <f>Assumptions!E33</f>
        <v>0.193</v>
      </c>
      <c r="F10" s="44">
        <f>Assumptions!E34</f>
        <v>0.208</v>
      </c>
      <c r="G10" s="44">
        <f>Assumptions!C47</f>
        <v>0.212765957446809</v>
      </c>
      <c r="H10" s="43">
        <f>G10+Assumptions!C23/10000</f>
        <v>0.217765957446809</v>
      </c>
      <c r="I10" s="43">
        <f>H10+Assumptions!C23/10000</f>
        <v>0.222765957446809</v>
      </c>
      <c r="J10" s="43">
        <f>I10+Assumptions!C23/10000</f>
        <v>0.227765957446809</v>
      </c>
      <c r="K10" s="43">
        <f>J10+Assumptions!C23/10000</f>
        <v>0.232765957446809</v>
      </c>
      <c r="L10" s="43">
        <f>K10+Assumptions!C23/10000</f>
        <v>0.237765957446809</v>
      </c>
    </row>
    <row r="11" ht="15" customHeight="1" s="12">
      <c r="B11" s="13" t="inlineStr">
        <is>
          <t>EBITDA (2025E = Adjusted EBITDA)</t>
        </is>
      </c>
      <c r="C11" s="32">
        <f>C6*C10</f>
        <v>1.1016</v>
      </c>
      <c r="D11" s="32">
        <f>D6*D10</f>
        <v>1.3528</v>
      </c>
      <c r="E11" s="32">
        <f>E6*E10</f>
        <v>1.6019</v>
      </c>
      <c r="F11" s="32">
        <f>F6*F10</f>
        <v>1.8512</v>
      </c>
      <c r="G11" s="32">
        <f>G6*G10</f>
        <v>2</v>
      </c>
      <c r="H11" s="47">
        <f>H6*H10</f>
        <v>2.159585</v>
      </c>
      <c r="I11" s="47">
        <f>I6*I10</f>
        <v>2.33067435</v>
      </c>
      <c r="J11" s="47">
        <f>J6*J10</f>
        <v>2.514050783875</v>
      </c>
      <c r="K11" s="47">
        <f>K6*K10</f>
        <v>2.7105483355675</v>
      </c>
      <c r="L11" s="47">
        <f>L6*L10</f>
        <v>2.92105561432495</v>
      </c>
    </row>
    <row r="12" ht="15" customHeight="1" s="12">
      <c r="B12" s="16" t="inlineStr">
        <is>
          <t>Operating Expenses (SG&amp;A, derived)</t>
        </is>
      </c>
      <c r="C12" s="30">
        <f>C9-C11</f>
        <v>1.4144</v>
      </c>
      <c r="D12" s="30">
        <f>D9-D11</f>
        <v>1.4592</v>
      </c>
      <c r="E12" s="30">
        <f>E9-E11</f>
        <v>1.4691</v>
      </c>
      <c r="F12" s="30">
        <f>F9-F11</f>
        <v>1.4418</v>
      </c>
      <c r="G12" s="30">
        <f>G9-G11</f>
        <v>1.478</v>
      </c>
      <c r="H12" s="48">
        <f>H9-H11</f>
        <v>1.509705</v>
      </c>
      <c r="I12" s="48">
        <f>I9-I11</f>
        <v>1.5404266</v>
      </c>
      <c r="J12" s="48">
        <f>J9-J11</f>
        <v>1.569960718375</v>
      </c>
      <c r="K12" s="48">
        <f>K9-K11</f>
        <v>1.59808379930625</v>
      </c>
      <c r="L12" s="48">
        <f>L9-L11</f>
        <v>1.62455128796685</v>
      </c>
    </row>
    <row r="13" ht="15" customHeight="1" s="12">
      <c r="B13" s="16" t="inlineStr">
        <is>
          <t>Depreciation &amp; Amortization</t>
        </is>
      </c>
      <c r="C13" s="30">
        <f>C6*Assumptions!C64</f>
        <v>0.204</v>
      </c>
      <c r="D13" s="30">
        <f>D6*Assumptions!C64</f>
        <v>0.228</v>
      </c>
      <c r="E13" s="30">
        <f>E6*Assumptions!C64</f>
        <v>0.249</v>
      </c>
      <c r="F13" s="30">
        <f>F6*Assumptions!C64</f>
        <v>0.267</v>
      </c>
      <c r="G13" s="30">
        <f>G6*Assumptions!C64</f>
        <v>0.282</v>
      </c>
      <c r="H13" s="48">
        <f>H6*Assumptions!C64</f>
        <v>0.29751</v>
      </c>
      <c r="I13" s="48">
        <f>I6*Assumptions!C64</f>
        <v>0.31387305</v>
      </c>
      <c r="J13" s="48">
        <f>J6*Assumptions!C64</f>
        <v>0.33113606775</v>
      </c>
      <c r="K13" s="48">
        <f>K6*Assumptions!C64</f>
        <v>0.34934855147625</v>
      </c>
      <c r="L13" s="48">
        <f>L6*Assumptions!C64</f>
        <v>0.368562721807444</v>
      </c>
    </row>
    <row r="14" ht="15" customHeight="1" s="12">
      <c r="B14" s="13" t="inlineStr">
        <is>
          <t>EBIT</t>
        </is>
      </c>
      <c r="C14" s="32">
        <f>C11-C13</f>
        <v>0.8976</v>
      </c>
      <c r="D14" s="32">
        <f>D11-D13</f>
        <v>1.1248</v>
      </c>
      <c r="E14" s="32">
        <f>E11-E13</f>
        <v>1.3529</v>
      </c>
      <c r="F14" s="32">
        <f>F11-F13</f>
        <v>1.5842</v>
      </c>
      <c r="G14" s="32">
        <f>G11-G13</f>
        <v>1.718</v>
      </c>
      <c r="H14" s="47">
        <f>H11-H13</f>
        <v>1.862075</v>
      </c>
      <c r="I14" s="47">
        <f>I11-I13</f>
        <v>2.0168013</v>
      </c>
      <c r="J14" s="47">
        <f>J11-J13</f>
        <v>2.182914716125</v>
      </c>
      <c r="K14" s="47">
        <f>K11-K13</f>
        <v>2.36119978409125</v>
      </c>
      <c r="L14" s="47">
        <f>L11-L13</f>
        <v>2.55249289251751</v>
      </c>
    </row>
    <row r="15" ht="15" customHeight="1" s="12">
      <c r="B15" s="16" t="inlineStr">
        <is>
          <t>Interest Expense</t>
        </is>
      </c>
      <c r="C15" s="49" t="inlineStr">
        <is>
          <t>n/a</t>
        </is>
      </c>
      <c r="D15" s="49" t="inlineStr">
        <is>
          <t>n/a</t>
        </is>
      </c>
      <c r="E15" s="49" t="inlineStr">
        <is>
          <t>n/a</t>
        </is>
      </c>
      <c r="F15" s="49" t="inlineStr">
        <is>
          <t>n/a</t>
        </is>
      </c>
      <c r="G15" s="49" t="inlineStr">
        <is>
          <t>n/a</t>
        </is>
      </c>
      <c r="H15" s="50">
        <f>'Cash Flow &amp; Debt Schedule'!C17</f>
        <v>0.5255</v>
      </c>
      <c r="I15" s="50">
        <f>'Cash Flow &amp; Debt Schedule'!D17</f>
        <v>0.452583333333333</v>
      </c>
      <c r="J15" s="50">
        <f>'Cash Flow &amp; Debt Schedule'!E17</f>
        <v>0.379666666666667</v>
      </c>
      <c r="K15" s="50">
        <f>'Cash Flow &amp; Debt Schedule'!F17</f>
        <v>0.30675</v>
      </c>
      <c r="L15" s="50">
        <f>'Cash Flow &amp; Debt Schedule'!G17</f>
        <v>0.233833333333333</v>
      </c>
    </row>
    <row r="16" ht="15" customHeight="1" s="12">
      <c r="B16" s="13" t="inlineStr">
        <is>
          <t>Earnings Before Tax (EBT)</t>
        </is>
      </c>
      <c r="C16" s="49" t="inlineStr">
        <is>
          <t>n/a</t>
        </is>
      </c>
      <c r="D16" s="49" t="inlineStr">
        <is>
          <t>n/a</t>
        </is>
      </c>
      <c r="E16" s="49" t="inlineStr">
        <is>
          <t>n/a</t>
        </is>
      </c>
      <c r="F16" s="49" t="inlineStr">
        <is>
          <t>n/a</t>
        </is>
      </c>
      <c r="G16" s="49" t="inlineStr">
        <is>
          <t>n/a</t>
        </is>
      </c>
      <c r="H16" s="47">
        <f>H14-H15</f>
        <v>1.336575</v>
      </c>
      <c r="I16" s="47">
        <f>I14-I15</f>
        <v>1.56421796666667</v>
      </c>
      <c r="J16" s="47">
        <f>J14-J15</f>
        <v>1.80324804945833</v>
      </c>
      <c r="K16" s="47">
        <f>K14-K15</f>
        <v>2.05444978409125</v>
      </c>
      <c r="L16" s="47">
        <f>L14-L15</f>
        <v>2.31865955918418</v>
      </c>
    </row>
    <row r="17" ht="15" customHeight="1" s="12">
      <c r="B17" s="16" t="inlineStr">
        <is>
          <t>Income Taxes</t>
        </is>
      </c>
      <c r="C17" s="49" t="inlineStr">
        <is>
          <t>n/a</t>
        </is>
      </c>
      <c r="D17" s="49" t="inlineStr">
        <is>
          <t>n/a</t>
        </is>
      </c>
      <c r="E17" s="49" t="inlineStr">
        <is>
          <t>n/a</t>
        </is>
      </c>
      <c r="F17" s="49" t="inlineStr">
        <is>
          <t>n/a</t>
        </is>
      </c>
      <c r="G17" s="49" t="inlineStr">
        <is>
          <t>n/a</t>
        </is>
      </c>
      <c r="H17" s="48">
        <f>MAX(H16,0)*Assumptions!C71</f>
        <v>0.33414375</v>
      </c>
      <c r="I17" s="48">
        <f>MAX(I16,0)*Assumptions!C71</f>
        <v>0.391054491666667</v>
      </c>
      <c r="J17" s="48">
        <f>MAX(J16,0)*Assumptions!C71</f>
        <v>0.450812012364583</v>
      </c>
      <c r="K17" s="48">
        <f>MAX(K16,0)*Assumptions!C71</f>
        <v>0.513612446022812</v>
      </c>
      <c r="L17" s="48">
        <f>MAX(L16,0)*Assumptions!C71</f>
        <v>0.579664889796044</v>
      </c>
    </row>
    <row r="18" ht="15" customHeight="1" s="12">
      <c r="B18" s="13" t="inlineStr">
        <is>
          <t>Net Income</t>
        </is>
      </c>
      <c r="C18" s="49" t="inlineStr">
        <is>
          <t>n/a</t>
        </is>
      </c>
      <c r="D18" s="49" t="inlineStr">
        <is>
          <t>n/a</t>
        </is>
      </c>
      <c r="E18" s="49" t="inlineStr">
        <is>
          <t>n/a</t>
        </is>
      </c>
      <c r="F18" s="49" t="inlineStr">
        <is>
          <t>n/a</t>
        </is>
      </c>
      <c r="G18" s="49" t="inlineStr">
        <is>
          <t>n/a</t>
        </is>
      </c>
      <c r="H18" s="51">
        <f>H16-H17</f>
        <v>1.00243125</v>
      </c>
      <c r="I18" s="51">
        <f>I16-I17</f>
        <v>1.173163475</v>
      </c>
      <c r="J18" s="51">
        <f>J16-J17</f>
        <v>1.35243603709375</v>
      </c>
      <c r="K18" s="51">
        <f>K16-K17</f>
        <v>1.54083733806844</v>
      </c>
      <c r="L18" s="51">
        <f>L16-L17</f>
        <v>1.73899466938813</v>
      </c>
    </row>
    <row r="20" ht="27.75" customHeight="1" s="12">
      <c r="B20" s="7" t="n"/>
    </row>
  </sheetData>
  <mergeCells count="3">
    <mergeCell ref="B20:K20"/>
    <mergeCell ref="B3:K3"/>
    <mergeCell ref="B2:K2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H29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46" customWidth="1" style="12" min="2" max="2"/>
    <col width="15" customWidth="1" style="12" min="3" max="3"/>
    <col width="13" customWidth="1" style="12" min="4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BALANCE SHEET</t>
        </is>
      </c>
    </row>
    <row r="3" ht="15.75" customHeight="1" s="12">
      <c r="B3" s="3" t="inlineStr">
        <is>
          <t>Post-Close Opening Balance Sheet &amp; 5-Year Projection (Illustrative)</t>
        </is>
      </c>
      <c r="C3" s="77" t="n"/>
      <c r="D3" s="77" t="n"/>
      <c r="E3" s="77" t="n"/>
      <c r="F3" s="77" t="n"/>
      <c r="G3" s="77" t="n"/>
      <c r="H3" s="77" t="n"/>
    </row>
    <row r="5" ht="15" customHeight="1" s="12">
      <c r="B5" s="18" t="inlineStr">
        <is>
          <t>($M CAD)</t>
        </is>
      </c>
      <c r="C5" s="19" t="inlineStr">
        <is>
          <t>2025E (Close)</t>
        </is>
      </c>
      <c r="D5" s="19" t="inlineStr">
        <is>
          <t>2026E</t>
        </is>
      </c>
      <c r="E5" s="19" t="inlineStr">
        <is>
          <t>2027E</t>
        </is>
      </c>
      <c r="F5" s="19" t="inlineStr">
        <is>
          <t>2028E</t>
        </is>
      </c>
      <c r="G5" s="19" t="inlineStr">
        <is>
          <t>2029E</t>
        </is>
      </c>
      <c r="H5" s="19" t="inlineStr">
        <is>
          <t>2030E</t>
        </is>
      </c>
    </row>
    <row r="6" ht="18" customHeight="1" s="12">
      <c r="B6" s="9" t="inlineStr">
        <is>
          <t>Assets</t>
        </is>
      </c>
    </row>
    <row r="7" ht="15" customHeight="1" s="12">
      <c r="B7" s="16" t="inlineStr">
        <is>
          <t>Cash</t>
        </is>
      </c>
      <c r="C7" s="41">
        <f>'Sources &amp; Uses'!C8</f>
        <v>0.3</v>
      </c>
      <c r="D7" s="41">
        <f>'Cash Flow &amp; Debt Schedule'!C35</f>
        <v>0.499713716666667</v>
      </c>
      <c r="E7" s="41">
        <f>'Cash Flow &amp; Debt Schedule'!D35</f>
        <v>0.871843527333333</v>
      </c>
      <c r="F7" s="41">
        <f>'Cash Flow &amp; Debt Schedule'!E35</f>
        <v>1.42502238188875</v>
      </c>
      <c r="G7" s="41">
        <f>'Cash Flow &amp; Debt Schedule'!F35</f>
        <v>2.16847672571258</v>
      </c>
      <c r="H7" s="41">
        <f>'Cash Flow &amp; Debt Schedule'!G35</f>
        <v>3.11206566950598</v>
      </c>
    </row>
    <row r="8" ht="15" customHeight="1" s="12">
      <c r="B8" s="16" t="inlineStr">
        <is>
          <t>Accounts Receivable</t>
        </is>
      </c>
      <c r="C8" s="30">
        <f>'Income Statement'!G6*Assumptions!C66</f>
        <v>1.128</v>
      </c>
      <c r="D8" s="30">
        <f>'Income Statement'!H6*Assumptions!C66</f>
        <v>1.19004</v>
      </c>
      <c r="E8" s="30">
        <f>'Income Statement'!I6*Assumptions!C66</f>
        <v>1.2554922</v>
      </c>
      <c r="F8" s="30">
        <f>'Income Statement'!J6*Assumptions!C66</f>
        <v>1.324544271</v>
      </c>
      <c r="G8" s="30">
        <f>'Income Statement'!K6*Assumptions!C66</f>
        <v>1.397394205905</v>
      </c>
      <c r="H8" s="30">
        <f>'Income Statement'!L6*Assumptions!C66</f>
        <v>1.47425088722977</v>
      </c>
    </row>
    <row r="9" ht="15" customHeight="1" s="12">
      <c r="B9" s="16" t="inlineStr">
        <is>
          <t>Inventory</t>
        </is>
      </c>
      <c r="C9" s="30">
        <f>('Income Statement'!G6-'Income Statement'!G9)*Assumptions!C67</f>
        <v>0.5922</v>
      </c>
      <c r="D9" s="30">
        <f>('Income Statement'!H6-'Income Statement'!H9)*Assumptions!C67</f>
        <v>0.624771</v>
      </c>
      <c r="E9" s="30">
        <f>('Income Statement'!I6-'Income Statement'!I9)*Assumptions!C67</f>
        <v>0.659133405</v>
      </c>
      <c r="F9" s="30">
        <f>('Income Statement'!J6-'Income Statement'!J9)*Assumptions!C67</f>
        <v>0.695385742275</v>
      </c>
      <c r="G9" s="30">
        <f>('Income Statement'!K6-'Income Statement'!K9)*Assumptions!C67</f>
        <v>0.733631958100125</v>
      </c>
      <c r="H9" s="30">
        <f>('Income Statement'!L6-'Income Statement'!L9)*Assumptions!C67</f>
        <v>0.773981715795632</v>
      </c>
    </row>
    <row r="10" ht="15" customHeight="1" s="12">
      <c r="B10" s="16" t="inlineStr">
        <is>
          <t>Net PP&amp;E</t>
        </is>
      </c>
      <c r="C10" s="30">
        <f>'Income Statement'!G6*Assumptions!C69</f>
        <v>2.82</v>
      </c>
      <c r="D10" s="30">
        <f>C10-'Cash Flow &amp; Debt Schedule'!C27-'Cash Flow &amp; Debt Schedule'!C21</f>
        <v>2.72083</v>
      </c>
      <c r="E10" s="30">
        <f>D10-'Cash Flow &amp; Debt Schedule'!D27-'Cash Flow &amp; Debt Schedule'!D21</f>
        <v>2.61620565</v>
      </c>
      <c r="F10" s="30">
        <f>E10-'Cash Flow &amp; Debt Schedule'!E27-'Cash Flow &amp; Debt Schedule'!E21</f>
        <v>2.50582696075</v>
      </c>
      <c r="G10" s="30">
        <f>F10-'Cash Flow &amp; Debt Schedule'!F27-'Cash Flow &amp; Debt Schedule'!F21</f>
        <v>2.38937744359125</v>
      </c>
      <c r="H10" s="30">
        <f>G10-'Cash Flow &amp; Debt Schedule'!G27-'Cash Flow &amp; Debt Schedule'!G21</f>
        <v>2.26652320298877</v>
      </c>
    </row>
    <row r="11" ht="15" customHeight="1" s="12">
      <c r="B11" s="16" t="inlineStr">
        <is>
          <t>Goodwill &amp; Intangibles (PPA: Purchase EV less Net Identifiable Assets)</t>
        </is>
      </c>
      <c r="C11" s="30">
        <f>'Sources &amp; Uses'!C7-(C8+C9+C10-C15)</f>
        <v>6.93356</v>
      </c>
      <c r="D11" s="30">
        <f>C11</f>
        <v>6.93356</v>
      </c>
      <c r="E11" s="30">
        <f>D11</f>
        <v>6.93356</v>
      </c>
      <c r="F11" s="30">
        <f>E11</f>
        <v>6.93356</v>
      </c>
      <c r="G11" s="30">
        <f>F11</f>
        <v>6.93356</v>
      </c>
      <c r="H11" s="30">
        <f>G11</f>
        <v>6.93356</v>
      </c>
    </row>
    <row r="12" ht="15" customHeight="1" s="12">
      <c r="B12" s="13" t="inlineStr">
        <is>
          <t>Total Assets</t>
        </is>
      </c>
      <c r="C12" s="52">
        <f>SUM(C7:C11)</f>
        <v>11.77376</v>
      </c>
      <c r="D12" s="52">
        <f>SUM(D7:D11)</f>
        <v>11.9689147166667</v>
      </c>
      <c r="E12" s="52">
        <f>SUM(E7:E11)</f>
        <v>12.3362347823333</v>
      </c>
      <c r="F12" s="52">
        <f>SUM(F7:F11)</f>
        <v>12.8843393559137</v>
      </c>
      <c r="G12" s="52">
        <f>SUM(G7:G11)</f>
        <v>13.622440333309</v>
      </c>
      <c r="H12" s="52">
        <f>SUM(H7:H11)</f>
        <v>14.5603814755202</v>
      </c>
    </row>
    <row r="14" ht="18" customHeight="1" s="12">
      <c r="B14" s="9" t="inlineStr">
        <is>
          <t>Liabilities</t>
        </is>
      </c>
    </row>
    <row r="15" ht="15" customHeight="1" s="12">
      <c r="B15" s="16" t="inlineStr">
        <is>
          <t>Accounts Payable</t>
        </is>
      </c>
      <c r="C15" s="30">
        <f>('Income Statement'!G6-'Income Statement'!G9)*Assumptions!C68</f>
        <v>0.47376</v>
      </c>
      <c r="D15" s="30">
        <f>('Income Statement'!H6-'Income Statement'!H9)*Assumptions!C68</f>
        <v>0.4998168</v>
      </c>
      <c r="E15" s="30">
        <f>('Income Statement'!I6-'Income Statement'!I9)*Assumptions!C68</f>
        <v>0.527306724</v>
      </c>
      <c r="F15" s="30">
        <f>('Income Statement'!J6-'Income Statement'!J9)*Assumptions!C68</f>
        <v>0.55630859382</v>
      </c>
      <c r="G15" s="30">
        <f>('Income Statement'!K6-'Income Statement'!K9)*Assumptions!C68</f>
        <v>0.5869055664801</v>
      </c>
      <c r="H15" s="30">
        <f>('Income Statement'!L6-'Income Statement'!L9)*Assumptions!C68</f>
        <v>0.619185372636505</v>
      </c>
    </row>
    <row r="16" ht="15" customHeight="1" s="12">
      <c r="B16" s="16" t="inlineStr">
        <is>
          <t>Senior Debt</t>
        </is>
      </c>
      <c r="C16" s="41">
        <f>'Sources &amp; Uses'!C14</f>
        <v>5</v>
      </c>
      <c r="D16" s="41">
        <f>'Cash Flow &amp; Debt Schedule'!C10</f>
        <v>4.16666666666667</v>
      </c>
      <c r="E16" s="41">
        <f>'Cash Flow &amp; Debt Schedule'!D10</f>
        <v>3.33333333333333</v>
      </c>
      <c r="F16" s="41">
        <f>'Cash Flow &amp; Debt Schedule'!E10</f>
        <v>2.5</v>
      </c>
      <c r="G16" s="41">
        <f>'Cash Flow &amp; Debt Schedule'!F10</f>
        <v>1.66666666666667</v>
      </c>
      <c r="H16" s="41">
        <f>'Cash Flow &amp; Debt Schedule'!G10</f>
        <v>0.833333333333333</v>
      </c>
    </row>
    <row r="17" ht="15" customHeight="1" s="12">
      <c r="B17" s="16" t="inlineStr">
        <is>
          <t>Seller Note</t>
        </is>
      </c>
      <c r="C17" s="41">
        <f>'Sources &amp; Uses'!C15</f>
        <v>1.1</v>
      </c>
      <c r="D17" s="41">
        <f>'Cash Flow &amp; Debt Schedule'!C15</f>
        <v>1.1</v>
      </c>
      <c r="E17" s="41">
        <f>'Cash Flow &amp; Debt Schedule'!D15</f>
        <v>1.1</v>
      </c>
      <c r="F17" s="41">
        <f>'Cash Flow &amp; Debt Schedule'!E15</f>
        <v>1.1</v>
      </c>
      <c r="G17" s="41">
        <f>'Cash Flow &amp; Debt Schedule'!F15</f>
        <v>1.1</v>
      </c>
      <c r="H17" s="41">
        <f>'Cash Flow &amp; Debt Schedule'!G15</f>
        <v>1.1</v>
      </c>
    </row>
    <row r="18" ht="15" customHeight="1" s="12">
      <c r="B18" s="13" t="inlineStr">
        <is>
          <t>Total Liabilities</t>
        </is>
      </c>
      <c r="C18" s="32">
        <f>SUM(C15:C17)</f>
        <v>6.57376</v>
      </c>
      <c r="D18" s="32">
        <f>SUM(D15:D17)</f>
        <v>5.76648346666667</v>
      </c>
      <c r="E18" s="32">
        <f>SUM(E15:E17)</f>
        <v>4.96064005733333</v>
      </c>
      <c r="F18" s="32">
        <f>SUM(F15:F17)</f>
        <v>4.15630859382</v>
      </c>
      <c r="G18" s="32">
        <f>SUM(G15:G17)</f>
        <v>3.35357223314677</v>
      </c>
      <c r="H18" s="32">
        <f>SUM(H15:H17)</f>
        <v>2.55251870596984</v>
      </c>
    </row>
    <row r="20" ht="18" customHeight="1" s="12">
      <c r="B20" s="9" t="inlineStr">
        <is>
          <t>Equity</t>
        </is>
      </c>
    </row>
    <row r="21" ht="15" customHeight="1" s="12">
      <c r="B21" s="16" t="inlineStr">
        <is>
          <t>Sponsor / Buyer Equity</t>
        </is>
      </c>
      <c r="C21" s="41">
        <f>'Sources &amp; Uses'!C17</f>
        <v>3.66</v>
      </c>
      <c r="D21" s="41">
        <f>'Sources &amp; Uses'!C17</f>
        <v>3.66</v>
      </c>
      <c r="E21" s="41">
        <f>'Sources &amp; Uses'!C17</f>
        <v>3.66</v>
      </c>
      <c r="F21" s="41">
        <f>'Sources &amp; Uses'!C17</f>
        <v>3.66</v>
      </c>
      <c r="G21" s="41">
        <f>'Sources &amp; Uses'!C17</f>
        <v>3.66</v>
      </c>
      <c r="H21" s="41">
        <f>'Sources &amp; Uses'!C17</f>
        <v>3.66</v>
      </c>
    </row>
    <row r="22" ht="15" customHeight="1" s="12">
      <c r="B22" s="16" t="inlineStr">
        <is>
          <t>Seller Equity Rollover</t>
        </is>
      </c>
      <c r="C22" s="41">
        <f>'Sources &amp; Uses'!C16</f>
        <v>1.65</v>
      </c>
      <c r="D22" s="41">
        <f>'Sources &amp; Uses'!C16</f>
        <v>1.65</v>
      </c>
      <c r="E22" s="41">
        <f>'Sources &amp; Uses'!C16</f>
        <v>1.65</v>
      </c>
      <c r="F22" s="41">
        <f>'Sources &amp; Uses'!C16</f>
        <v>1.65</v>
      </c>
      <c r="G22" s="41">
        <f>'Sources &amp; Uses'!C16</f>
        <v>1.65</v>
      </c>
      <c r="H22" s="41">
        <f>'Sources &amp; Uses'!C16</f>
        <v>1.65</v>
      </c>
    </row>
    <row r="23" ht="15" customHeight="1" s="12">
      <c r="B23" s="16" t="inlineStr">
        <is>
          <t>Retained Earnings (opening = buyer deal costs expensed at close)</t>
        </is>
      </c>
      <c r="C23" s="41">
        <f>-'Sources &amp; Uses'!C9</f>
        <v>-0.11</v>
      </c>
      <c r="D23" s="30">
        <f>C23+'Income Statement'!H18</f>
        <v>0.89243125</v>
      </c>
      <c r="E23" s="30">
        <f>D23+'Income Statement'!I18</f>
        <v>2.065594725</v>
      </c>
      <c r="F23" s="30">
        <f>E23+'Income Statement'!J18</f>
        <v>3.41803076209375</v>
      </c>
      <c r="G23" s="30">
        <f>F23+'Income Statement'!K18</f>
        <v>4.95886810016219</v>
      </c>
      <c r="H23" s="30">
        <f>G23+'Income Statement'!L18</f>
        <v>6.69786276955032</v>
      </c>
    </row>
    <row r="24" ht="15" customHeight="1" s="12">
      <c r="B24" s="13" t="inlineStr">
        <is>
          <t>Total Equity</t>
        </is>
      </c>
      <c r="C24" s="32">
        <f>SUM(C21:C23)</f>
        <v>5.2</v>
      </c>
      <c r="D24" s="32">
        <f>SUM(D21:D23)</f>
        <v>6.20243125</v>
      </c>
      <c r="E24" s="32">
        <f>SUM(E21:E23)</f>
        <v>7.375594725</v>
      </c>
      <c r="F24" s="32">
        <f>SUM(F21:F23)</f>
        <v>8.72803076209375</v>
      </c>
      <c r="G24" s="32">
        <f>SUM(G21:G23)</f>
        <v>10.2688681001622</v>
      </c>
      <c r="H24" s="32">
        <f>SUM(H21:H23)</f>
        <v>12.0078627695503</v>
      </c>
    </row>
    <row r="26" ht="15" customHeight="1" s="12">
      <c r="B26" s="13" t="inlineStr">
        <is>
          <t>Total Liabilities &amp; Equity</t>
        </is>
      </c>
      <c r="C26" s="52">
        <f>C18+C24</f>
        <v>11.77376</v>
      </c>
      <c r="D26" s="52">
        <f>D18+D24</f>
        <v>11.9689147166667</v>
      </c>
      <c r="E26" s="52">
        <f>E18+E24</f>
        <v>12.3362347823333</v>
      </c>
      <c r="F26" s="52">
        <f>F18+F24</f>
        <v>12.8843393559138</v>
      </c>
      <c r="G26" s="52">
        <f>G18+G24</f>
        <v>13.622440333309</v>
      </c>
      <c r="H26" s="52">
        <f>H18+H24</f>
        <v>14.5603814755202</v>
      </c>
    </row>
    <row r="27" ht="15" customHeight="1" s="12">
      <c r="B27" s="16" t="inlineStr">
        <is>
          <t>Balance Check (Assets – Liabilities &amp; Equity)</t>
        </is>
      </c>
      <c r="C27" s="30">
        <f>C12-C26</f>
        <v>0</v>
      </c>
      <c r="D27" s="30">
        <f>D12-D26</f>
        <v>0</v>
      </c>
      <c r="E27" s="30">
        <f>E12-E26</f>
        <v>0</v>
      </c>
      <c r="F27" s="30">
        <f>F12-F26</f>
        <v>0</v>
      </c>
      <c r="G27" s="30">
        <f>G12-G26</f>
        <v>0</v>
      </c>
      <c r="H27" s="30">
        <f>H12-H26</f>
        <v>0</v>
      </c>
    </row>
    <row r="29" ht="27.75" customHeight="1" s="12">
      <c r="B29" s="7" t="n"/>
    </row>
  </sheetData>
  <mergeCells count="6">
    <mergeCell ref="B20:G20"/>
    <mergeCell ref="B14:G14"/>
    <mergeCell ref="B2:H2"/>
    <mergeCell ref="B3:H3"/>
    <mergeCell ref="B29:G29"/>
    <mergeCell ref="B6:G6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G37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40" customWidth="1" style="12" min="2" max="2"/>
    <col width="13" customWidth="1" style="12" min="3" max="7"/>
    <col width="4" customWidth="1" style="12" min="8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CASH FLOW &amp; DEBT SCHEDULE</t>
        </is>
      </c>
    </row>
    <row r="3" ht="15.75" customHeight="1" s="12">
      <c r="B3" s="3" t="inlineStr">
        <is>
          <t>Post-Close Debt Amortization &amp; Cash Flow, 2026E–2030E (Illustrative)</t>
        </is>
      </c>
      <c r="C3" s="77" t="n"/>
      <c r="D3" s="77" t="n"/>
      <c r="E3" s="77" t="n"/>
      <c r="F3" s="77" t="n"/>
      <c r="G3" s="77" t="n"/>
    </row>
    <row r="5" ht="15" customHeight="1" s="12">
      <c r="B5" s="18" t="inlineStr">
        <is>
          <t>($M CAD)</t>
        </is>
      </c>
      <c r="C5" s="19" t="inlineStr">
        <is>
          <t>2026E</t>
        </is>
      </c>
      <c r="D5" s="19" t="inlineStr">
        <is>
          <t>2027E</t>
        </is>
      </c>
      <c r="E5" s="19" t="inlineStr">
        <is>
          <t>2028E</t>
        </is>
      </c>
      <c r="F5" s="19" t="inlineStr">
        <is>
          <t>2029E</t>
        </is>
      </c>
      <c r="G5" s="19" t="inlineStr">
        <is>
          <t>2030E</t>
        </is>
      </c>
    </row>
    <row r="6" ht="18" customHeight="1" s="12">
      <c r="B6" s="9" t="inlineStr">
        <is>
          <t>Senior Debt Schedule</t>
        </is>
      </c>
    </row>
    <row r="7" ht="15" customHeight="1" s="12">
      <c r="B7" s="16" t="inlineStr">
        <is>
          <t>Beginning Balance</t>
        </is>
      </c>
      <c r="C7" s="41">
        <f>'Sources &amp; Uses'!C14</f>
        <v>5</v>
      </c>
      <c r="D7" s="30">
        <f>C10</f>
        <v>4.16666666666667</v>
      </c>
      <c r="E7" s="30">
        <f>D10</f>
        <v>3.33333333333333</v>
      </c>
      <c r="F7" s="30">
        <f>E10</f>
        <v>2.5</v>
      </c>
      <c r="G7" s="30">
        <f>F10</f>
        <v>1.66666666666667</v>
      </c>
    </row>
    <row r="8" ht="15" customHeight="1" s="12">
      <c r="B8" s="16" t="inlineStr">
        <is>
          <t>Scheduled Amortization</t>
        </is>
      </c>
      <c r="C8" s="30">
        <f>-MIN(C7, $C$7/Assumptions!C75)</f>
        <v>-0.833333333333333</v>
      </c>
      <c r="D8" s="30">
        <f>-MIN(D7, $C$7/Assumptions!C75)</f>
        <v>-0.833333333333333</v>
      </c>
      <c r="E8" s="30">
        <f>-MIN(E7, $C$7/Assumptions!C75)</f>
        <v>-0.833333333333333</v>
      </c>
      <c r="F8" s="30">
        <f>-MIN(F7, $C$7/Assumptions!C75)</f>
        <v>-0.833333333333333</v>
      </c>
      <c r="G8" s="30">
        <f>-MIN(G7, $C$7/Assumptions!C75)</f>
        <v>-0.833333333333333</v>
      </c>
    </row>
    <row r="9" ht="15" customHeight="1" s="12">
      <c r="B9" s="16" t="inlineStr">
        <is>
          <t>Interest Expense</t>
        </is>
      </c>
      <c r="C9" s="30">
        <f>C7*Assumptions!C74</f>
        <v>0.4375</v>
      </c>
      <c r="D9" s="30">
        <f>D7*Assumptions!C74</f>
        <v>0.364583333333333</v>
      </c>
      <c r="E9" s="30">
        <f>E7*Assumptions!C74</f>
        <v>0.291666666666667</v>
      </c>
      <c r="F9" s="30">
        <f>F7*Assumptions!C74</f>
        <v>0.21875</v>
      </c>
      <c r="G9" s="30">
        <f>G7*Assumptions!C74</f>
        <v>0.145833333333333</v>
      </c>
    </row>
    <row r="10" ht="15" customHeight="1" s="12">
      <c r="B10" s="13" t="inlineStr">
        <is>
          <t>Ending Balance</t>
        </is>
      </c>
      <c r="C10" s="32">
        <f>C7+C8</f>
        <v>4.16666666666667</v>
      </c>
      <c r="D10" s="32">
        <f>D7+D8</f>
        <v>3.33333333333333</v>
      </c>
      <c r="E10" s="32">
        <f>E7+E8</f>
        <v>2.5</v>
      </c>
      <c r="F10" s="32">
        <f>F7+F8</f>
        <v>1.66666666666667</v>
      </c>
      <c r="G10" s="32">
        <f>G7+G8</f>
        <v>0.833333333333333</v>
      </c>
    </row>
    <row r="12" ht="18" customHeight="1" s="12">
      <c r="B12" s="9" t="inlineStr">
        <is>
          <t>Seller Note Schedule (Interest-Only, Bullet at Exit)</t>
        </is>
      </c>
    </row>
    <row r="13" ht="15" customHeight="1" s="12">
      <c r="B13" s="16" t="inlineStr">
        <is>
          <t>Beginning Balance</t>
        </is>
      </c>
      <c r="C13" s="41">
        <f>'Sources &amp; Uses'!C15</f>
        <v>1.1</v>
      </c>
      <c r="D13" s="30">
        <f>C15</f>
        <v>1.1</v>
      </c>
      <c r="E13" s="30">
        <f>D15</f>
        <v>1.1</v>
      </c>
      <c r="F13" s="30">
        <f>E15</f>
        <v>1.1</v>
      </c>
      <c r="G13" s="30">
        <f>F15</f>
        <v>1.1</v>
      </c>
    </row>
    <row r="14" ht="15" customHeight="1" s="12">
      <c r="B14" s="16" t="inlineStr">
        <is>
          <t>Interest Expense (Cash)</t>
        </is>
      </c>
      <c r="C14" s="30">
        <f>C13*Assumptions!C76</f>
        <v>0.088</v>
      </c>
      <c r="D14" s="30">
        <f>D13*Assumptions!C76</f>
        <v>0.088</v>
      </c>
      <c r="E14" s="30">
        <f>E13*Assumptions!C76</f>
        <v>0.088</v>
      </c>
      <c r="F14" s="30">
        <f>F13*Assumptions!C76</f>
        <v>0.088</v>
      </c>
      <c r="G14" s="30">
        <f>G13*Assumptions!C76</f>
        <v>0.088</v>
      </c>
    </row>
    <row r="15" ht="15" customHeight="1" s="12">
      <c r="B15" s="13" t="inlineStr">
        <is>
          <t>Ending Balance (flat, no amortization)</t>
        </is>
      </c>
      <c r="C15" s="32">
        <f>C13</f>
        <v>1.1</v>
      </c>
      <c r="D15" s="32">
        <f>D13</f>
        <v>1.1</v>
      </c>
      <c r="E15" s="32">
        <f>E13</f>
        <v>1.1</v>
      </c>
      <c r="F15" s="32">
        <f>F13</f>
        <v>1.1</v>
      </c>
      <c r="G15" s="32">
        <f>G13</f>
        <v>1.1</v>
      </c>
    </row>
    <row r="17" ht="15" customHeight="1" s="12">
      <c r="B17" s="13" t="inlineStr">
        <is>
          <t>Total Interest Expense (Senior Debt + Seller Note)</t>
        </is>
      </c>
      <c r="C17" s="53">
        <f>C9+C14</f>
        <v>0.5255</v>
      </c>
      <c r="D17" s="53">
        <f>D9+D14</f>
        <v>0.452583333333333</v>
      </c>
      <c r="E17" s="53">
        <f>E9+E14</f>
        <v>0.379666666666667</v>
      </c>
      <c r="F17" s="53">
        <f>F9+F14</f>
        <v>0.30675</v>
      </c>
      <c r="G17" s="53">
        <f>G9+G14</f>
        <v>0.233833333333333</v>
      </c>
    </row>
    <row r="19" ht="18" customHeight="1" s="12">
      <c r="B19" s="9" t="inlineStr">
        <is>
          <t>Cash Flow Statement</t>
        </is>
      </c>
    </row>
    <row r="20" ht="15" customHeight="1" s="12">
      <c r="B20" s="16" t="inlineStr">
        <is>
          <t>Net Income</t>
        </is>
      </c>
      <c r="C20" s="41">
        <f>'Income Statement'!H18</f>
        <v>1.00243125</v>
      </c>
      <c r="D20" s="41">
        <f>'Income Statement'!I18</f>
        <v>1.173163475</v>
      </c>
      <c r="E20" s="41">
        <f>'Income Statement'!J18</f>
        <v>1.35243603709375</v>
      </c>
      <c r="F20" s="41">
        <f>'Income Statement'!K18</f>
        <v>1.54083733806844</v>
      </c>
      <c r="G20" s="41">
        <f>'Income Statement'!L18</f>
        <v>1.73899466938813</v>
      </c>
    </row>
    <row r="21" ht="15" customHeight="1" s="12">
      <c r="B21" s="16" t="inlineStr">
        <is>
          <t>(+) Depreciation &amp; Amortization</t>
        </is>
      </c>
      <c r="C21" s="41">
        <f>'Income Statement'!H13</f>
        <v>0.29751</v>
      </c>
      <c r="D21" s="41">
        <f>'Income Statement'!I13</f>
        <v>0.31387305</v>
      </c>
      <c r="E21" s="41">
        <f>'Income Statement'!J13</f>
        <v>0.33113606775</v>
      </c>
      <c r="F21" s="41">
        <f>'Income Statement'!K13</f>
        <v>0.34934855147625</v>
      </c>
      <c r="G21" s="41">
        <f>'Income Statement'!L13</f>
        <v>0.368562721807444</v>
      </c>
    </row>
    <row r="22" ht="15" customHeight="1" s="12">
      <c r="B22" s="16" t="inlineStr">
        <is>
          <t>(–) Increase in Accounts Receivable</t>
        </is>
      </c>
      <c r="C22" s="30">
        <f>-('Balance Sheet'!D8-'Balance Sheet'!C8)</f>
        <v>-0.0620400000000001</v>
      </c>
      <c r="D22" s="30">
        <f>-('Balance Sheet'!E8-'Balance Sheet'!D8)</f>
        <v>-0.0654522</v>
      </c>
      <c r="E22" s="30">
        <f>-('Balance Sheet'!F8-'Balance Sheet'!E8)</f>
        <v>-0.0690520709999998</v>
      </c>
      <c r="F22" s="30">
        <f>-('Balance Sheet'!G8-'Balance Sheet'!F8)</f>
        <v>-0.0728499349049998</v>
      </c>
      <c r="G22" s="30">
        <f>-('Balance Sheet'!H8-'Balance Sheet'!G8)</f>
        <v>-0.0768566813247751</v>
      </c>
    </row>
    <row r="23" ht="15" customHeight="1" s="12">
      <c r="B23" s="16" t="inlineStr">
        <is>
          <t>(–) Increase in Inventory</t>
        </is>
      </c>
      <c r="C23" s="30">
        <f>-('Balance Sheet'!D9-'Balance Sheet'!C9)</f>
        <v>-0.0325709999999999</v>
      </c>
      <c r="D23" s="30">
        <f>-('Balance Sheet'!E9-'Balance Sheet'!D9)</f>
        <v>-0.034362405</v>
      </c>
      <c r="E23" s="30">
        <f>-('Balance Sheet'!F9-'Balance Sheet'!E9)</f>
        <v>-0.036252337275</v>
      </c>
      <c r="F23" s="30">
        <f>-('Balance Sheet'!G9-'Balance Sheet'!F9)</f>
        <v>-0.038246215825125</v>
      </c>
      <c r="G23" s="30">
        <f>-('Balance Sheet'!H9-'Balance Sheet'!G9)</f>
        <v>-0.0403497576955068</v>
      </c>
    </row>
    <row r="24" ht="15" customHeight="1" s="12">
      <c r="B24" s="16" t="inlineStr">
        <is>
          <t>(+) Increase in Accounts Payable</t>
        </is>
      </c>
      <c r="C24" s="30">
        <f>('Balance Sheet'!D15-'Balance Sheet'!C15)</f>
        <v>0.0260567999999999</v>
      </c>
      <c r="D24" s="30">
        <f>('Balance Sheet'!E15-'Balance Sheet'!D15)</f>
        <v>0.027489924</v>
      </c>
      <c r="E24" s="30">
        <f>('Balance Sheet'!F15-'Balance Sheet'!E15)</f>
        <v>0.0290018698199999</v>
      </c>
      <c r="F24" s="30">
        <f>('Balance Sheet'!G15-'Balance Sheet'!F15)</f>
        <v>0.0305969726601</v>
      </c>
      <c r="G24" s="30">
        <f>('Balance Sheet'!H15-'Balance Sheet'!G15)</f>
        <v>0.0322798061564056</v>
      </c>
    </row>
    <row r="25" ht="15" customHeight="1" s="12">
      <c r="B25" s="13" t="inlineStr">
        <is>
          <t>Cash Flow from Operations</t>
        </is>
      </c>
      <c r="C25" s="32">
        <f>SUM(C20:C24)</f>
        <v>1.23138705</v>
      </c>
      <c r="D25" s="32">
        <f>SUM(D20:D24)</f>
        <v>1.414711844</v>
      </c>
      <c r="E25" s="32">
        <f>SUM(E20:E24)</f>
        <v>1.60726956638875</v>
      </c>
      <c r="F25" s="32">
        <f>SUM(F20:F24)</f>
        <v>1.80968671147466</v>
      </c>
      <c r="G25" s="32">
        <f>SUM(G20:G24)</f>
        <v>2.0226307583317</v>
      </c>
    </row>
    <row r="27" ht="15" customHeight="1" s="12">
      <c r="B27" s="16" t="inlineStr">
        <is>
          <t>Capital Expenditures</t>
        </is>
      </c>
      <c r="C27" s="30">
        <f>-'Income Statement'!H6*Assumptions!C65</f>
        <v>-0.19834</v>
      </c>
      <c r="D27" s="30">
        <f>-'Income Statement'!I6*Assumptions!C65</f>
        <v>-0.2092487</v>
      </c>
      <c r="E27" s="30">
        <f>-'Income Statement'!J6*Assumptions!C65</f>
        <v>-0.2207573785</v>
      </c>
      <c r="F27" s="30">
        <f>-'Income Statement'!K6*Assumptions!C65</f>
        <v>-0.2328990343175</v>
      </c>
      <c r="G27" s="30">
        <f>-'Income Statement'!L6*Assumptions!C65</f>
        <v>-0.245708481204962</v>
      </c>
    </row>
    <row r="28" ht="15" customHeight="1" s="12">
      <c r="B28" s="13" t="inlineStr">
        <is>
          <t>Cash Flow from Investing</t>
        </is>
      </c>
      <c r="C28" s="32">
        <f>C27</f>
        <v>-0.19834</v>
      </c>
      <c r="D28" s="32">
        <f>D27</f>
        <v>-0.2092487</v>
      </c>
      <c r="E28" s="32">
        <f>E27</f>
        <v>-0.2207573785</v>
      </c>
      <c r="F28" s="32">
        <f>F27</f>
        <v>-0.2328990343175</v>
      </c>
      <c r="G28" s="32">
        <f>G27</f>
        <v>-0.245708481204962</v>
      </c>
    </row>
    <row r="30" ht="15" customHeight="1" s="12">
      <c r="B30" s="16" t="inlineStr">
        <is>
          <t>Senior Debt Repayment</t>
        </is>
      </c>
      <c r="C30" s="30">
        <f>C8</f>
        <v>-0.833333333333333</v>
      </c>
      <c r="D30" s="30">
        <f>D8</f>
        <v>-0.833333333333333</v>
      </c>
      <c r="E30" s="30">
        <f>E8</f>
        <v>-0.833333333333333</v>
      </c>
      <c r="F30" s="30">
        <f>F8</f>
        <v>-0.833333333333333</v>
      </c>
      <c r="G30" s="30">
        <f>G8</f>
        <v>-0.833333333333333</v>
      </c>
    </row>
    <row r="31" ht="15" customHeight="1" s="12">
      <c r="B31" s="13" t="inlineStr">
        <is>
          <t>Cash Flow from Financing</t>
        </is>
      </c>
      <c r="C31" s="32">
        <f>C30</f>
        <v>-0.833333333333333</v>
      </c>
      <c r="D31" s="32">
        <f>D30</f>
        <v>-0.833333333333333</v>
      </c>
      <c r="E31" s="32">
        <f>E30</f>
        <v>-0.833333333333333</v>
      </c>
      <c r="F31" s="32">
        <f>F30</f>
        <v>-0.833333333333333</v>
      </c>
      <c r="G31" s="32">
        <f>G30</f>
        <v>-0.833333333333333</v>
      </c>
    </row>
    <row r="33" ht="15" customHeight="1" s="12">
      <c r="B33" s="13" t="inlineStr">
        <is>
          <t>Net Change in Cash</t>
        </is>
      </c>
      <c r="C33" s="53">
        <f>C25+C28+C31</f>
        <v>0.199713716666667</v>
      </c>
      <c r="D33" s="53">
        <f>D25+D28+D31</f>
        <v>0.372129810666667</v>
      </c>
      <c r="E33" s="53">
        <f>E25+E28+E31</f>
        <v>0.553178854555417</v>
      </c>
      <c r="F33" s="53">
        <f>F25+F28+F31</f>
        <v>0.743454343823829</v>
      </c>
      <c r="G33" s="53">
        <f>G25+G28+G31</f>
        <v>0.943588943793403</v>
      </c>
    </row>
    <row r="34" ht="15" customHeight="1" s="12">
      <c r="B34" s="16" t="inlineStr">
        <is>
          <t>Beginning Cash</t>
        </is>
      </c>
      <c r="C34" s="41">
        <f>Assumptions!C70</f>
        <v>0.3</v>
      </c>
      <c r="D34" s="30">
        <f>C35</f>
        <v>0.499713716666667</v>
      </c>
      <c r="E34" s="30">
        <f>D35</f>
        <v>0.871843527333333</v>
      </c>
      <c r="F34" s="30">
        <f>E35</f>
        <v>1.42502238188875</v>
      </c>
      <c r="G34" s="30">
        <f>F35</f>
        <v>2.16847672571258</v>
      </c>
    </row>
    <row r="35" ht="15" customHeight="1" s="12">
      <c r="B35" s="13" t="inlineStr">
        <is>
          <t>Ending Cash</t>
        </is>
      </c>
      <c r="C35" s="52">
        <f>C34+C33</f>
        <v>0.499713716666667</v>
      </c>
      <c r="D35" s="52">
        <f>D34+D33</f>
        <v>0.871843527333333</v>
      </c>
      <c r="E35" s="52">
        <f>E34+E33</f>
        <v>1.42502238188875</v>
      </c>
      <c r="F35" s="52">
        <f>F34+F33</f>
        <v>2.16847672571258</v>
      </c>
      <c r="G35" s="52">
        <f>G34+G33</f>
        <v>3.11206566950598</v>
      </c>
    </row>
    <row r="37" ht="18.75" customHeight="1" s="12">
      <c r="B37" s="7" t="n"/>
    </row>
  </sheetData>
  <mergeCells count="6">
    <mergeCell ref="B3:G3"/>
    <mergeCell ref="B2:G2"/>
    <mergeCell ref="B19:G19"/>
    <mergeCell ref="B37:G37"/>
    <mergeCell ref="B12:G12"/>
    <mergeCell ref="B6:G6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F30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0" customWidth="1" style="12" min="2" max="2"/>
    <col width="18" customWidth="1" style="12" min="3" max="3"/>
    <col width="20" customWidth="1" style="12" min="4" max="4"/>
    <col width="16" customWidth="1" style="12" min="5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VALUATION</t>
        </is>
      </c>
    </row>
    <row r="3" ht="15.75" customHeight="1" s="12">
      <c r="B3" s="3" t="inlineStr">
        <is>
          <t>Enterprise Value &amp; Equity Value Build (Active Case)</t>
        </is>
      </c>
      <c r="C3" s="77" t="n"/>
      <c r="D3" s="77" t="n"/>
      <c r="E3" s="77" t="n"/>
      <c r="F3" s="77" t="n"/>
    </row>
    <row r="5" ht="18" customHeight="1" s="12">
      <c r="B5" s="9" t="inlineStr">
        <is>
          <t>Enterprise Value Build</t>
        </is>
      </c>
    </row>
    <row r="6" ht="15" customHeight="1" s="12">
      <c r="B6" s="13" t="inlineStr">
        <is>
          <t>Adjusted EBITDA (2025E)</t>
        </is>
      </c>
      <c r="C6" s="54">
        <f>Assumptions!C46</f>
        <v>2</v>
      </c>
    </row>
    <row r="7" ht="15" customHeight="1" s="12">
      <c r="B7" s="13" t="inlineStr">
        <is>
          <t>Selected EV / EBITDA Multiple (Active Case)</t>
        </is>
      </c>
      <c r="C7" s="55">
        <f>Assumptions!C51</f>
        <v>5.5</v>
      </c>
    </row>
    <row r="8" ht="15" customHeight="1" s="12">
      <c r="B8" s="13" t="inlineStr">
        <is>
          <t>Enterprise Value</t>
        </is>
      </c>
      <c r="C8" s="53">
        <f>C6*C7</f>
        <v>11</v>
      </c>
    </row>
    <row r="9" ht="15" customHeight="1" s="12">
      <c r="B9" s="16" t="inlineStr">
        <is>
          <t>Implied EV / 2025E Revenue</t>
        </is>
      </c>
      <c r="C9" s="56">
        <f>C8/Assumptions!C35</f>
        <v>1.17021276595745</v>
      </c>
    </row>
    <row r="11" ht="18" customHeight="1" s="12">
      <c r="B11" s="9" t="inlineStr">
        <is>
          <t>Cross-Check vs. CIM Indicative Range (§XVII, p.18)</t>
        </is>
      </c>
    </row>
    <row r="12" ht="15" customHeight="1" s="12">
      <c r="B12" s="18" t="inlineStr">
        <is>
          <t>Scenario</t>
        </is>
      </c>
      <c r="C12" s="19" t="inlineStr">
        <is>
          <t>Multiple</t>
        </is>
      </c>
      <c r="D12" s="19" t="inlineStr">
        <is>
          <t>Enterprise Value ($M)</t>
        </is>
      </c>
      <c r="E12" s="18" t="n"/>
      <c r="F12" s="18" t="n"/>
    </row>
    <row r="13" ht="15" customHeight="1" s="12">
      <c r="B13" s="20" t="inlineStr">
        <is>
          <t>Low Case</t>
        </is>
      </c>
      <c r="C13" s="35">
        <f>Assumptions!C52</f>
        <v>4.5</v>
      </c>
      <c r="D13" s="30">
        <f>Assumptions!C46*Assumptions!C52</f>
        <v>9</v>
      </c>
    </row>
    <row r="14" ht="15" customHeight="1" s="12">
      <c r="B14" s="57" t="inlineStr">
        <is>
          <t>Active Case (selected)</t>
        </is>
      </c>
      <c r="C14" s="58">
        <f>C7</f>
        <v>5.5</v>
      </c>
      <c r="D14" s="59">
        <f>C8</f>
        <v>11</v>
      </c>
    </row>
    <row r="15" ht="15" customHeight="1" s="12">
      <c r="B15" s="20" t="inlineStr">
        <is>
          <t>High Case</t>
        </is>
      </c>
      <c r="C15" s="35">
        <f>Assumptions!C53</f>
        <v>6.5</v>
      </c>
      <c r="D15" s="30">
        <f>Assumptions!C46*Assumptions!C53</f>
        <v>13</v>
      </c>
    </row>
    <row r="16" ht="15" customHeight="1" s="12">
      <c r="B16" s="16" t="inlineStr">
        <is>
          <t>CIM-Disclosed Indicative Range</t>
        </is>
      </c>
      <c r="D16" s="2" t="inlineStr">
        <is>
          <t>$9.0M – $13.0M CAD</t>
        </is>
      </c>
    </row>
    <row r="18" ht="18" customHeight="1" s="12">
      <c r="B18" s="9" t="inlineStr">
        <is>
          <t>Enterprise Value to Equity Value Bridge</t>
        </is>
      </c>
    </row>
    <row r="19" ht="15" customHeight="1" s="12">
      <c r="B19" s="16" t="inlineStr">
        <is>
          <t>Enterprise Value</t>
        </is>
      </c>
      <c r="C19" s="30">
        <f>C8</f>
        <v>11</v>
      </c>
    </row>
    <row r="20" ht="15" customHeight="1" s="12">
      <c r="B20" s="16" t="inlineStr">
        <is>
          <t>(–) Net Debt at Close</t>
        </is>
      </c>
      <c r="C20" s="30">
        <f>-Assumptions!C54</f>
        <v>0</v>
      </c>
    </row>
    <row r="21" ht="15" customHeight="1" s="12">
      <c r="B21" s="13" t="inlineStr">
        <is>
          <t>Equity Value (100%)</t>
        </is>
      </c>
      <c r="C21" s="53">
        <f>C19+C20</f>
        <v>11</v>
      </c>
    </row>
    <row r="23" ht="18" customHeight="1" s="12">
      <c r="B23" s="9" t="inlineStr">
        <is>
          <t>Valuation Summary — Football Field (Enterprise Value, $M)</t>
        </is>
      </c>
    </row>
    <row r="24">
      <c r="B24" s="18" t="inlineStr">
        <is>
          <t>Methodology</t>
        </is>
      </c>
      <c r="C24" s="19" t="inlineStr">
        <is>
          <t>Low</t>
        </is>
      </c>
      <c r="D24" s="19" t="inlineStr">
        <is>
          <t>High</t>
        </is>
      </c>
      <c r="E24" s="19" t="inlineStr">
        <is>
          <t>Midpoint</t>
        </is>
      </c>
    </row>
    <row r="25">
      <c r="B25" s="20" t="inlineStr">
        <is>
          <t>EV / EBITDA Range (4.5x – 6.5x, Low–High)</t>
        </is>
      </c>
      <c r="C25" s="30">
        <f>D13</f>
        <v>9</v>
      </c>
      <c r="D25" s="30">
        <f>D15</f>
        <v>13</v>
      </c>
      <c r="E25" s="30">
        <f>AVERAGE(C25:D25)</f>
        <v>11</v>
      </c>
    </row>
    <row r="26">
      <c r="B26" s="20" t="inlineStr">
        <is>
          <t>Precedent Transactions (5.2x – 6.1x)</t>
        </is>
      </c>
      <c r="C26" s="30">
        <f>Assumptions!C46*Assumptions!C101</f>
        <v>10.4</v>
      </c>
      <c r="D26" s="30">
        <f>Assumptions!C46*Assumptions!C102</f>
        <v>12.2</v>
      </c>
      <c r="E26" s="30">
        <f>AVERAGE(C26:D26)</f>
        <v>11.3</v>
      </c>
    </row>
    <row r="27">
      <c r="B27" s="20" t="inlineStr">
        <is>
          <t>DCF — Perpetuity (WACC ±1%, g ±0.5%)</t>
        </is>
      </c>
      <c r="C27" s="30">
        <f>MIN(DCF!D56:F58)</f>
        <v>12.2351899932778</v>
      </c>
      <c r="D27" s="30">
        <f>MAX(DCF!D56:F58)</f>
        <v>15.0173526115104</v>
      </c>
      <c r="E27" s="30">
        <f>AVERAGE(C27:D27)</f>
        <v>13.6262713023941</v>
      </c>
    </row>
    <row r="28">
      <c r="B28" s="20" t="inlineStr">
        <is>
          <t>DCF — Exit Multiple (WACC ±1%, ±0.5x)</t>
        </is>
      </c>
      <c r="C28" s="30">
        <f>MIN(DCF!D64:F66)</f>
        <v>12.5885268567052</v>
      </c>
      <c r="D28" s="30">
        <f>MAX(DCF!D64:F66)</f>
        <v>14.9413878273623</v>
      </c>
      <c r="E28" s="30">
        <f>AVERAGE(C28:D28)</f>
        <v>13.7649573420338</v>
      </c>
    </row>
    <row r="29">
      <c r="B29" s="57" t="inlineStr">
        <is>
          <t>Selected Enterprise Value (Active Case)</t>
        </is>
      </c>
      <c r="C29" s="59">
        <f>C8</f>
        <v>11</v>
      </c>
      <c r="D29" s="59">
        <f>C8</f>
        <v>11</v>
      </c>
      <c r="E29" s="59">
        <f>C8</f>
        <v>11</v>
      </c>
    </row>
    <row r="30" ht="27" customHeight="1" s="12">
      <c r="B30" s="7"/>
    </row>
  </sheetData>
  <mergeCells count="8">
    <mergeCell ref="B23:E23"/>
    <mergeCell ref="B18:E18"/>
    <mergeCell ref="D16:E16"/>
    <mergeCell ref="B2:F2"/>
    <mergeCell ref="B3:F3"/>
    <mergeCell ref="B30:E30"/>
    <mergeCell ref="B11:E11"/>
    <mergeCell ref="B5:E5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G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C4" sqref="C4"/>
    </sheetView>
  </sheetViews>
  <sheetFormatPr baseColWidth="8" defaultRowHeight="15"/>
  <cols>
    <col width="3" customWidth="1" style="12" min="1" max="1"/>
    <col width="50" customWidth="1" style="12" min="2" max="2"/>
    <col width="14" customWidth="1" style="12" min="3" max="3"/>
    <col width="14" customWidth="1" style="12" min="4" max="4"/>
    <col width="14" customWidth="1" style="12" min="5" max="5"/>
    <col width="14" customWidth="1" style="12" min="6" max="6"/>
    <col width="14" customWidth="1" style="12" min="7" max="7"/>
    <col width="4" customWidth="1" style="12" min="8" max="8"/>
  </cols>
  <sheetData>
    <row r="1">
      <c r="F1" s="17" t="inlineStr">
        <is>
          <t>STRICTLY CONFIDENTIAL</t>
        </is>
      </c>
    </row>
    <row r="2" ht="25.5" customHeight="1" s="12">
      <c r="B2" s="11" t="inlineStr">
        <is>
          <t>DISCOUNTED CASH FLOW (DCF)</t>
        </is>
      </c>
    </row>
    <row r="3" ht="15.75" customHeight="1" s="12">
      <c r="B3" s="3" t="inlineStr">
        <is>
          <t>Unlevered Free Cash Flow, WACC Build &amp; Terminal Value — Active Case (Illustrative Cross-Check)</t>
        </is>
      </c>
      <c r="C3" s="77" t="n"/>
      <c r="D3" s="77" t="n"/>
      <c r="E3" s="77" t="n"/>
      <c r="F3" s="77" t="n"/>
      <c r="G3" s="77" t="n"/>
    </row>
    <row r="5">
      <c r="B5" s="18" t="inlineStr">
        <is>
          <t>($M CAD)</t>
        </is>
      </c>
      <c r="C5" s="19" t="inlineStr">
        <is>
          <t>2026E</t>
        </is>
      </c>
      <c r="D5" s="19" t="inlineStr">
        <is>
          <t>2027E</t>
        </is>
      </c>
      <c r="E5" s="19" t="inlineStr">
        <is>
          <t>2028E</t>
        </is>
      </c>
      <c r="F5" s="19" t="inlineStr">
        <is>
          <t>2029E</t>
        </is>
      </c>
      <c r="G5" s="19" t="inlineStr">
        <is>
          <t>2030E</t>
        </is>
      </c>
    </row>
    <row r="6" ht="18" customHeight="1" s="12">
      <c r="B6" s="9" t="inlineStr">
        <is>
          <t>Unlevered Free Cash Flow (Active Case)</t>
        </is>
      </c>
    </row>
    <row r="7">
      <c r="B7" s="16" t="inlineStr">
        <is>
          <t>EBITDA</t>
        </is>
      </c>
      <c r="C7" s="41">
        <f>'Income Statement'!H11</f>
        <v>2.159585</v>
      </c>
      <c r="D7" s="41">
        <f>'Income Statement'!I11</f>
        <v>2.33067435</v>
      </c>
      <c r="E7" s="41">
        <f>'Income Statement'!J11</f>
        <v>2.514050783875</v>
      </c>
      <c r="F7" s="41">
        <f>'Income Statement'!K11</f>
        <v>2.7105483355675</v>
      </c>
      <c r="G7" s="41">
        <f>'Income Statement'!L11</f>
        <v>2.92105561432495</v>
      </c>
    </row>
    <row r="8">
      <c r="B8" s="16" t="inlineStr">
        <is>
          <t>(–) Depreciation &amp; Amortization</t>
        </is>
      </c>
      <c r="C8" s="41">
        <f>-'Income Statement'!H13</f>
        <v>-0.29751</v>
      </c>
      <c r="D8" s="41">
        <f>-'Income Statement'!I13</f>
        <v>-0.31387305</v>
      </c>
      <c r="E8" s="41">
        <f>-'Income Statement'!J13</f>
        <v>-0.33113606775</v>
      </c>
      <c r="F8" s="41">
        <f>-'Income Statement'!K13</f>
        <v>-0.34934855147625</v>
      </c>
      <c r="G8" s="41">
        <f>-'Income Statement'!L13</f>
        <v>-0.368562721807444</v>
      </c>
    </row>
    <row r="9">
      <c r="B9" s="13" t="inlineStr">
        <is>
          <t>EBIT</t>
        </is>
      </c>
      <c r="C9" s="32">
        <f>C7+C8</f>
        <v>1.862075</v>
      </c>
      <c r="D9" s="32">
        <f>D7+D8</f>
        <v>2.0168013</v>
      </c>
      <c r="E9" s="32">
        <f>E7+E8</f>
        <v>2.182914716125</v>
      </c>
      <c r="F9" s="32">
        <f>F7+F8</f>
        <v>2.36119978409125</v>
      </c>
      <c r="G9" s="32">
        <f>G7+G8</f>
        <v>2.55249289251751</v>
      </c>
    </row>
    <row r="10">
      <c r="B10" s="16" t="inlineStr">
        <is>
          <t>(–) Unlevered Taxes on EBIT (at the tax rate)</t>
        </is>
      </c>
      <c r="C10" s="30">
        <f>-MAX(C9,0)*Assumptions!$C$71</f>
        <v>-0.46551875</v>
      </c>
      <c r="D10" s="30">
        <f>-MAX(D9,0)*Assumptions!$C$71</f>
        <v>-0.504200325</v>
      </c>
      <c r="E10" s="30">
        <f>-MAX(E9,0)*Assumptions!$C$71</f>
        <v>-0.54572867903125</v>
      </c>
      <c r="F10" s="30">
        <f>-MAX(F9,0)*Assumptions!$C$71</f>
        <v>-0.590299946022812</v>
      </c>
      <c r="G10" s="30">
        <f>-MAX(G9,0)*Assumptions!$C$71</f>
        <v>-0.638123223129377</v>
      </c>
    </row>
    <row r="11">
      <c r="B11" s="13" t="inlineStr">
        <is>
          <t>NOPAT (EBIT × (1 – t))</t>
        </is>
      </c>
      <c r="C11" s="32">
        <f>C9+C10</f>
        <v>1.39655625</v>
      </c>
      <c r="D11" s="32">
        <f>D9+D10</f>
        <v>1.512600975</v>
      </c>
      <c r="E11" s="32">
        <f>E9+E10</f>
        <v>1.63718603709375</v>
      </c>
      <c r="F11" s="32">
        <f>F9+F10</f>
        <v>1.77089983806844</v>
      </c>
      <c r="G11" s="32">
        <f>G9+G10</f>
        <v>1.91436966938813</v>
      </c>
    </row>
    <row r="12">
      <c r="B12" s="16" t="inlineStr">
        <is>
          <t>(+) Depreciation &amp; Amortization</t>
        </is>
      </c>
      <c r="C12" s="30">
        <f>-C8</f>
        <v>0.29751</v>
      </c>
      <c r="D12" s="30">
        <f>-D8</f>
        <v>0.31387305</v>
      </c>
      <c r="E12" s="30">
        <f>-E8</f>
        <v>0.33113606775</v>
      </c>
      <c r="F12" s="30">
        <f>-F8</f>
        <v>0.34934855147625</v>
      </c>
      <c r="G12" s="30">
        <f>-G8</f>
        <v>0.368562721807444</v>
      </c>
    </row>
    <row r="13">
      <c r="B13" s="16" t="inlineStr">
        <is>
          <t>(–) Capital Expenditures</t>
        </is>
      </c>
      <c r="C13" s="41">
        <f>'Cash Flow &amp; Debt Schedule'!C27</f>
        <v>-0.19834</v>
      </c>
      <c r="D13" s="41">
        <f>'Cash Flow &amp; Debt Schedule'!D27</f>
        <v>-0.2092487</v>
      </c>
      <c r="E13" s="41">
        <f>'Cash Flow &amp; Debt Schedule'!E27</f>
        <v>-0.2207573785</v>
      </c>
      <c r="F13" s="41">
        <f>'Cash Flow &amp; Debt Schedule'!F27</f>
        <v>-0.2328990343175</v>
      </c>
      <c r="G13" s="41">
        <f>'Cash Flow &amp; Debt Schedule'!G27</f>
        <v>-0.245708481204962</v>
      </c>
    </row>
    <row r="14">
      <c r="B14" s="16" t="inlineStr">
        <is>
          <t>(–) Increase in Net Working Capital (AR + Inventory – AP)</t>
        </is>
      </c>
      <c r="C14" s="41">
        <f>SUM('Cash Flow &amp; Debt Schedule'!C22:C24)</f>
        <v>-0.0685542000000001</v>
      </c>
      <c r="D14" s="41">
        <f>SUM('Cash Flow &amp; Debt Schedule'!D22:D24)</f>
        <v>-0.072324681</v>
      </c>
      <c r="E14" s="41">
        <f>SUM('Cash Flow &amp; Debt Schedule'!E22:E24)</f>
        <v>-0.0763025384549999</v>
      </c>
      <c r="F14" s="41">
        <f>SUM('Cash Flow &amp; Debt Schedule'!F22:F24)</f>
        <v>-0.0804991780700248</v>
      </c>
      <c r="G14" s="41">
        <f>SUM('Cash Flow &amp; Debt Schedule'!G22:G24)</f>
        <v>-0.0849266328638763</v>
      </c>
    </row>
    <row r="15">
      <c r="B15" s="13" t="inlineStr">
        <is>
          <t>Unlevered Free Cash Flow (UFCF)</t>
        </is>
      </c>
      <c r="C15" s="53">
        <f>SUM(C11:C14)</f>
        <v>1.42717205</v>
      </c>
      <c r="D15" s="53">
        <f>SUM(D11:D14)</f>
        <v>1.544900644</v>
      </c>
      <c r="E15" s="53">
        <f>SUM(E11:E14)</f>
        <v>1.67126218788875</v>
      </c>
      <c r="F15" s="53">
        <f>SUM(F11:F14)</f>
        <v>1.80685017715716</v>
      </c>
      <c r="G15" s="53">
        <f>SUM(G11:G14)</f>
        <v>1.95229727712674</v>
      </c>
    </row>
    <row r="16">
      <c r="B16" s="16" t="inlineStr">
        <is>
          <t>UFCF Conversion (% of EBITDA)</t>
        </is>
      </c>
      <c r="C16" s="29">
        <f>C15/C7</f>
        <v>0.660854770708261</v>
      </c>
      <c r="D16" s="29">
        <f>D15/D7</f>
        <v>0.662855642616911</v>
      </c>
      <c r="E16" s="29">
        <f>E15/E7</f>
        <v>0.664768666809813</v>
      </c>
      <c r="F16" s="29">
        <f>F15/F7</f>
        <v>0.666599504405763</v>
      </c>
      <c r="G16" s="29">
        <f>G15/G7</f>
        <v>0.668353340331011</v>
      </c>
    </row>
    <row r="18" ht="18" customHeight="1" s="12">
      <c r="B18" s="9" t="inlineStr">
        <is>
          <t>Discounting  (WACC from the build below; mid-year convention per Assumptions)</t>
        </is>
      </c>
    </row>
    <row r="19">
      <c r="B19" s="16" t="inlineStr">
        <is>
          <t>Year</t>
        </is>
      </c>
      <c r="C19" s="78" t="n">
        <v>1</v>
      </c>
      <c r="D19" s="78">
        <f>C19+1</f>
        <v>2</v>
      </c>
      <c r="E19" s="78">
        <f>D19+1</f>
        <v>3</v>
      </c>
      <c r="F19" s="78">
        <f>E19+1</f>
        <v>4</v>
      </c>
      <c r="G19" s="78">
        <f>F19+1</f>
        <v>5</v>
      </c>
    </row>
    <row r="20">
      <c r="B20" s="16" t="inlineStr">
        <is>
          <t>Discount Period (years; mid-year if switch = 1)</t>
        </is>
      </c>
      <c r="C20" s="79">
        <f>C19-0.5*Assumptions!$C$100</f>
        <v>0.5</v>
      </c>
      <c r="D20" s="79">
        <f>D19-0.5*Assumptions!$C$100</f>
        <v>1.5</v>
      </c>
      <c r="E20" s="79">
        <f>E19-0.5*Assumptions!$C$100</f>
        <v>2.5</v>
      </c>
      <c r="F20" s="79">
        <f>F19-0.5*Assumptions!$C$100</f>
        <v>3.5</v>
      </c>
      <c r="G20" s="79">
        <f>G19-0.5*Assumptions!$C$100</f>
        <v>4.5</v>
      </c>
    </row>
    <row r="21">
      <c r="B21" s="16" t="inlineStr">
        <is>
          <t>Discount Factor  = 1 / (1 + WACC) ^ period</t>
        </is>
      </c>
      <c r="C21" s="80">
        <f>1/(1+$C$36)^C20</f>
        <v>0.930980563414708</v>
      </c>
      <c r="D21" s="80">
        <f>1/(1+$C$36)^D20</f>
        <v>0.806903951432823</v>
      </c>
      <c r="E21" s="80">
        <f>1/(1+$C$36)^E20</f>
        <v>0.69936367355488</v>
      </c>
      <c r="F21" s="80">
        <f>1/(1+$C$36)^F20</f>
        <v>0.606155846702279</v>
      </c>
      <c r="G21" s="80">
        <f>1/(1+$C$36)^G20</f>
        <v>0.525370310733654</v>
      </c>
    </row>
    <row r="22">
      <c r="B22" s="13" t="inlineStr">
        <is>
          <t>PV of UFCF</t>
        </is>
      </c>
      <c r="C22" s="53">
        <f>C15*C21</f>
        <v>1.32866943919872</v>
      </c>
      <c r="D22" s="53">
        <f>D15*D21</f>
        <v>1.24658643421471</v>
      </c>
      <c r="E22" s="53">
        <f>E15*E21</f>
        <v>1.16882006319524</v>
      </c>
      <c r="F22" s="53">
        <f>F15*F21</f>
        <v>1.09523279899886</v>
      </c>
      <c r="G22" s="53">
        <f>G15*G21</f>
        <v>1.02567902712854</v>
      </c>
    </row>
    <row r="24" ht="18" customHeight="1" s="12">
      <c r="B24" s="9" t="inlineStr">
        <is>
          <t>WACC Build  (CAPM + Size &amp; Company-Specific Premiums)</t>
        </is>
      </c>
    </row>
    <row r="25">
      <c r="B25" s="16" t="inlineStr">
        <is>
          <t>Risk-Free Rate</t>
        </is>
      </c>
      <c r="C25" s="81">
        <f>Assumptions!C92</f>
        <v>0.0325</v>
      </c>
    </row>
    <row r="26">
      <c r="B26" s="16" t="inlineStr">
        <is>
          <t>Unlevered Beta (βU)</t>
        </is>
      </c>
      <c r="C26" s="82">
        <f>Assumptions!C94</f>
        <v>0.95</v>
      </c>
    </row>
    <row r="27">
      <c r="B27" s="16" t="inlineStr">
        <is>
          <t>Target Debt / Equity (D/E)</t>
        </is>
      </c>
      <c r="C27" s="44">
        <f>Assumptions!C97/(1-Assumptions!C97)</f>
        <v>0.428571428571429</v>
      </c>
    </row>
    <row r="28">
      <c r="B28" s="16" t="inlineStr">
        <is>
          <t>Relevered Beta  βL = βU × [1 + (1 – t) × D/E]</t>
        </is>
      </c>
      <c r="C28" s="83">
        <f>C26*(1+(1-Assumptions!C71)*C27)</f>
        <v>1.25535714285714</v>
      </c>
    </row>
    <row r="29">
      <c r="B29" s="16" t="inlineStr">
        <is>
          <t>Equity Risk Premium</t>
        </is>
      </c>
      <c r="C29" s="81">
        <f>Assumptions!C93</f>
        <v>0.055</v>
      </c>
    </row>
    <row r="30">
      <c r="B30" s="16" t="inlineStr">
        <is>
          <t>Size Premium + Company-Specific Risk Premium</t>
        </is>
      </c>
      <c r="C30" s="81">
        <f>Assumptions!C95+Assumptions!C96</f>
        <v>0.09</v>
      </c>
    </row>
    <row r="31">
      <c r="B31" s="13" t="inlineStr">
        <is>
          <t>Cost of Equity  Ke = Rf + βL × ERP + premiums</t>
        </is>
      </c>
      <c r="C31" s="84">
        <f>C25+C28*C29+C30</f>
        <v>0.191544642857143</v>
      </c>
    </row>
    <row r="32">
      <c r="B32" s="16" t="inlineStr">
        <is>
          <t>Pre-Tax Cost of Debt (Kd)</t>
        </is>
      </c>
      <c r="C32" s="81">
        <f>Assumptions!C98</f>
        <v>0.0875</v>
      </c>
    </row>
    <row r="33">
      <c r="B33" s="16" t="inlineStr">
        <is>
          <t>After-Tax Cost of Debt  Kd × (1 – t)</t>
        </is>
      </c>
      <c r="C33" s="65">
        <f>C32*(1-Assumptions!C71)</f>
        <v>0.065625</v>
      </c>
    </row>
    <row r="34">
      <c r="B34" s="16" t="inlineStr">
        <is>
          <t>Weight of Debt  D / (D + E)</t>
        </is>
      </c>
      <c r="C34" s="44">
        <f>Assumptions!C97</f>
        <v>0.3</v>
      </c>
    </row>
    <row r="35">
      <c r="B35" s="16" t="inlineStr">
        <is>
          <t>Weight of Equity  E / (D + E)</t>
        </is>
      </c>
      <c r="C35" s="29">
        <f>1-C34</f>
        <v>0.7</v>
      </c>
    </row>
    <row r="36">
      <c r="B36" s="13" t="inlineStr">
        <is>
          <t>WACC = E/V × Ke + D/V × Kd × (1 – t)</t>
        </is>
      </c>
      <c r="C36" s="85">
        <f>C35*C31+C34*C33</f>
        <v>0.15376875</v>
      </c>
    </row>
    <row r="38" ht="18" customHeight="1" s="12">
      <c r="B38" s="9" t="inlineStr">
        <is>
          <t>Terminal Value &amp; Enterprise Value</t>
        </is>
      </c>
    </row>
    <row r="39">
      <c r="B39" s="18" t="inlineStr">
        <is>
          <t>Method</t>
        </is>
      </c>
      <c r="C39" s="19" t="inlineStr">
        <is>
          <t>Perpetuity Growth</t>
        </is>
      </c>
      <c r="D39" s="19" t="inlineStr">
        <is>
          <t>Exit Multiple</t>
        </is>
      </c>
    </row>
    <row r="40">
      <c r="B40" s="20" t="inlineStr">
        <is>
          <t>Sum of PV of UFCF (2026E–2030E)</t>
        </is>
      </c>
      <c r="C40" s="30">
        <f>SUM(C22:G22)</f>
        <v>5.86498776273608</v>
      </c>
      <c r="D40" s="30">
        <f>C40</f>
        <v>5.86498776273608</v>
      </c>
    </row>
    <row r="41">
      <c r="B41" s="20" t="inlineStr">
        <is>
          <t>Terminal-Year Metric (2030E UFCF / 2030E EBITDA)</t>
        </is>
      </c>
      <c r="C41" s="30">
        <f>G15</f>
        <v>1.95229727712674</v>
      </c>
      <c r="D41" s="30">
        <f>'Income Statement'!L11</f>
        <v>2.92105561432495</v>
      </c>
    </row>
    <row r="42">
      <c r="B42" s="20" t="inlineStr">
        <is>
          <t>Terminal Growth Rate / Exit EV / EBITDA Multiple</t>
        </is>
      </c>
      <c r="C42" s="65">
        <f>Assumptions!C99</f>
        <v>0.025</v>
      </c>
      <c r="D42" s="56">
        <f>Assumptions!C24</f>
        <v>5.5</v>
      </c>
    </row>
    <row r="43">
      <c r="B43" s="20" t="inlineStr">
        <is>
          <t>Terminal Value at 2030E</t>
        </is>
      </c>
      <c r="C43" s="30">
        <f>C41*(1+C42)/(C36-C42)</f>
        <v>15.5402976968784</v>
      </c>
      <c r="D43" s="30">
        <f>D41*D42</f>
        <v>16.0658058787872</v>
      </c>
    </row>
    <row r="44">
      <c r="B44" s="20" t="inlineStr">
        <is>
          <t>Discount Factor (end of 2030E)</t>
        </is>
      </c>
      <c r="C44" s="80">
        <f>1/(1+C36)^G19</f>
        <v>0.489109547888177</v>
      </c>
      <c r="D44" s="80">
        <f>C44</f>
        <v>0.489109547888177</v>
      </c>
    </row>
    <row r="45">
      <c r="B45" s="20" t="inlineStr">
        <is>
          <t>PV of Terminal Value</t>
        </is>
      </c>
      <c r="C45" s="30">
        <f>C43*C44</f>
        <v>7.60090798056786</v>
      </c>
      <c r="D45" s="30">
        <f>D43*D44</f>
        <v>7.85793904983285</v>
      </c>
    </row>
    <row r="46">
      <c r="B46" s="57" t="inlineStr">
        <is>
          <t>Enterprise Value (DCF)</t>
        </is>
      </c>
      <c r="C46" s="59">
        <f>C40+C45</f>
        <v>13.4658957433039</v>
      </c>
      <c r="D46" s="59">
        <f>D40+D45</f>
        <v>13.7229268125689</v>
      </c>
    </row>
    <row r="47">
      <c r="B47" s="20" t="inlineStr">
        <is>
          <t>PV of Terminal Value as % of EV</t>
        </is>
      </c>
      <c r="C47" s="29">
        <f>C45/C46</f>
        <v>0.564456173243989</v>
      </c>
      <c r="D47" s="29">
        <f>D45/D46</f>
        <v>0.572613929751174</v>
      </c>
    </row>
    <row r="48">
      <c r="B48" s="20" t="inlineStr">
        <is>
          <t>Implied EV / 2025E Adjusted EBITDA</t>
        </is>
      </c>
      <c r="C48" s="56">
        <f>C46/Assumptions!C46</f>
        <v>6.73294787165197</v>
      </c>
      <c r="D48" s="56">
        <f>D46/Assumptions!C46</f>
        <v>6.86146340628446</v>
      </c>
    </row>
    <row r="49">
      <c r="B49" s="20" t="inlineStr">
        <is>
          <t>Implied Exit Multiple  /  Implied Perpetuity Growth</t>
        </is>
      </c>
      <c r="C49" s="56">
        <f>C43/'Income Statement'!L11</f>
        <v>5.32009648178837</v>
      </c>
      <c r="D49" s="65">
        <f>(D43*C36-G15)/(D43+G15)</f>
        <v>0.0287556135134551</v>
      </c>
    </row>
    <row r="50">
      <c r="B50" s="20" t="inlineStr">
        <is>
          <t>(–) Net Debt at Close (CFDF)</t>
        </is>
      </c>
      <c r="C50" s="30">
        <f>-Assumptions!C54</f>
        <v>0</v>
      </c>
      <c r="D50" s="30">
        <f>-Assumptions!C54</f>
        <v>0</v>
      </c>
    </row>
    <row r="51">
      <c r="B51" s="20" t="inlineStr">
        <is>
          <t>Equity Value (100%)</t>
        </is>
      </c>
      <c r="C51" s="46">
        <f>C46+C50</f>
        <v>13.4658957433039</v>
      </c>
      <c r="D51" s="46">
        <f>D46+D50</f>
        <v>13.7229268125689</v>
      </c>
    </row>
    <row r="53" ht="18" customHeight="1" s="12">
      <c r="B53" s="9" t="inlineStr">
        <is>
          <t>Sensitivity — DCF Enterprise Value (Perpetuity Growth Method): WACC vs. Terminal Growth</t>
        </is>
      </c>
    </row>
    <row r="54">
      <c r="B54" s="18" t="inlineStr">
        <is>
          <t>WACC ↓   /   Terminal growth →</t>
        </is>
      </c>
      <c r="C54" s="86">
        <f>Assumptions!$C$99-0.010</f>
        <v>0.015</v>
      </c>
      <c r="D54" s="86">
        <f>Assumptions!$C$99-0.005</f>
        <v>0.02</v>
      </c>
      <c r="E54" s="86">
        <f>Assumptions!$C$99</f>
        <v>0.025</v>
      </c>
      <c r="F54" s="86">
        <f>Assumptions!$C$99+0.005</f>
        <v>0.03</v>
      </c>
      <c r="G54" s="86">
        <f>Assumptions!$C$99+0.010</f>
        <v>0.035</v>
      </c>
    </row>
    <row r="55">
      <c r="B55" s="65">
        <f>$C$36-0.02</f>
        <v>0.13376875</v>
      </c>
      <c r="C55" s="30">
        <f>SUMPRODUCT($C$15:$G$15,1/(1+$B55)^$C$20:$G$20)+$G$15*(1+C$54)/($B55-C$54)/(1+$B55)^$G$19</f>
        <v>15.0212073651489</v>
      </c>
      <c r="D55" s="30">
        <f>SUMPRODUCT($C$15:$G$15,1/(1+$B55)^$C$20:$G$20)+$G$15*(1+D$54)/($B55-D$54)/(1+$B55)^$G$19</f>
        <v>15.4584201482375</v>
      </c>
      <c r="E55" s="30">
        <f>SUMPRODUCT($C$15:$G$15,1/(1+$B55)^$C$20:$G$20)+$G$15*(1+E$54)/($B55-E$54)/(1+$B55)^$G$19</f>
        <v>15.9358294751945</v>
      </c>
      <c r="F55" s="30">
        <f>SUMPRODUCT($C$15:$G$15,1/(1+$B55)^$C$20:$G$20)+$G$15*(1+F$54)/($B55-F$54)/(1+$B55)^$G$19</f>
        <v>16.4592458444409</v>
      </c>
      <c r="G55" s="30">
        <f>SUMPRODUCT($C$15:$G$15,1/(1+$B55)^$C$20:$G$20)+$G$15*(1+G$54)/($B55-G$54)/(1+$B55)^$G$19</f>
        <v>17.035656340802</v>
      </c>
    </row>
    <row r="56">
      <c r="B56" s="65">
        <f>$C$36-0.01</f>
        <v>0.14376875</v>
      </c>
      <c r="C56" s="30">
        <f>SUMPRODUCT($C$15:$G$15,1/(1+$B56)^$C$20:$G$20)+$G$15*(1+C$54)/($B56-C$54)/(1+$B56)^$G$19</f>
        <v>13.8493311170763</v>
      </c>
      <c r="D56" s="30">
        <f>SUMPRODUCT($C$15:$G$15,1/(1+$B56)^$C$20:$G$20)+$G$15*(1+D$54)/($B56-D$54)/(1+$B56)^$G$19</f>
        <v>14.2072145230111</v>
      </c>
      <c r="E56" s="30">
        <f>SUMPRODUCT($C$15:$G$15,1/(1+$B56)^$C$20:$G$20)+$G$15*(1+E$54)/($B56-E$54)/(1+$B56)^$G$19</f>
        <v>14.5952307211102</v>
      </c>
      <c r="F56" s="30">
        <f>SUMPRODUCT($C$15:$G$15,1/(1+$B56)^$C$20:$G$20)+$G$15*(1+F$54)/($B56-F$54)/(1+$B56)^$G$19</f>
        <v>15.0173526115104</v>
      </c>
      <c r="G56" s="30">
        <f>SUMPRODUCT($C$15:$G$15,1/(1+$B56)^$C$20:$G$20)+$G$15*(1+G$54)/($B56-G$54)/(1+$B56)^$G$19</f>
        <v>15.4782836166978</v>
      </c>
    </row>
    <row r="57">
      <c r="B57" s="65">
        <f>$C$36</f>
        <v>0.15376875</v>
      </c>
      <c r="C57" s="30">
        <f>SUMPRODUCT($C$15:$G$15,1/(1+$B57)^$C$20:$G$20)+$G$15*(1+C$54)/($B57-C$54)/(1+$B57)^$G$19</f>
        <v>12.849345171282</v>
      </c>
      <c r="D57" s="30">
        <f>SUMPRODUCT($C$15:$G$15,1/(1+$B57)^$C$20:$G$20)+$G$15*(1+D$54)/($B57-D$54)/(1+$B57)^$G$19</f>
        <v>13.1460977628666</v>
      </c>
      <c r="E57" s="59">
        <f>SUMPRODUCT($C$15:$G$15,1/(1+$B57)^$C$20:$G$20)+$G$15*(1+E$54)/($B57-E$54)/(1+$B57)^$G$19</f>
        <v>13.4658957433039</v>
      </c>
      <c r="F57" s="30">
        <f>SUMPRODUCT($C$15:$G$15,1/(1+$B57)^$C$20:$G$20)+$G$15*(1+F$54)/($B57-F$54)/(1+$B57)^$G$19</f>
        <v>13.8115320698858</v>
      </c>
      <c r="G57" s="30">
        <f>SUMPRODUCT($C$15:$G$15,1/(1+$B57)^$C$20:$G$20)+$G$15*(1+G$54)/($B57-G$54)/(1+$B57)^$G$19</f>
        <v>14.1862700184501</v>
      </c>
    </row>
    <row r="58">
      <c r="B58" s="65">
        <f>$C$36+0.01</f>
        <v>0.16376875</v>
      </c>
      <c r="C58" s="30">
        <f>SUMPRODUCT($C$15:$G$15,1/(1+$B58)^$C$20:$G$20)+$G$15*(1+C$54)/($B58-C$54)/(1+$B58)^$G$19</f>
        <v>11.9863770449078</v>
      </c>
      <c r="D58" s="30">
        <f>SUMPRODUCT($C$15:$G$15,1/(1+$B58)^$C$20:$G$20)+$G$15*(1+D$54)/($B58-D$54)/(1+$B58)^$G$19</f>
        <v>12.2351899932778</v>
      </c>
      <c r="E58" s="30">
        <f>SUMPRODUCT($C$15:$G$15,1/(1+$B58)^$C$20:$G$20)+$G$15*(1+E$54)/($B58-E$54)/(1+$B58)^$G$19</f>
        <v>12.5019329834166</v>
      </c>
      <c r="F58" s="30">
        <f>SUMPRODUCT($C$15:$G$15,1/(1+$B58)^$C$20:$G$20)+$G$15*(1+F$54)/($B58-F$54)/(1+$B58)^$G$19</f>
        <v>12.7886165792752</v>
      </c>
      <c r="G58" s="30">
        <f>SUMPRODUCT($C$15:$G$15,1/(1+$B58)^$C$20:$G$20)+$G$15*(1+G$54)/($B58-G$54)/(1+$B58)^$G$19</f>
        <v>13.0975636199416</v>
      </c>
    </row>
    <row r="59">
      <c r="B59" s="65">
        <f>$C$36+0.02</f>
        <v>0.17376875</v>
      </c>
      <c r="C59" s="30">
        <f>SUMPRODUCT($C$15:$G$15,1/(1+$B59)^$C$20:$G$20)+$G$15*(1+C$54)/($B59-C$54)/(1+$B59)^$G$19</f>
        <v>11.2343554096799</v>
      </c>
      <c r="D59" s="30">
        <f>SUMPRODUCT($C$15:$G$15,1/(1+$B59)^$C$20:$G$20)+$G$15*(1+D$54)/($B59-D$54)/(1+$B59)^$G$19</f>
        <v>11.4450011455475</v>
      </c>
      <c r="E59" s="30">
        <f>SUMPRODUCT($C$15:$G$15,1/(1+$B59)^$C$20:$G$20)+$G$15*(1+E$54)/($B59-E$54)/(1+$B59)^$G$19</f>
        <v>11.6698061545063</v>
      </c>
      <c r="F59" s="30">
        <f>SUMPRODUCT($C$15:$G$15,1/(1+$B59)^$C$20:$G$20)+$G$15*(1+F$54)/($B59-F$54)/(1+$B59)^$G$19</f>
        <v>11.9102477332313</v>
      </c>
      <c r="G59" s="30">
        <f>SUMPRODUCT($C$15:$G$15,1/(1+$B59)^$C$20:$G$20)+$G$15*(1+G$54)/($B59-G$54)/(1+$B59)^$G$19</f>
        <v>12.1680160932904</v>
      </c>
    </row>
    <row r="61" ht="18" customHeight="1" s="12">
      <c r="B61" s="9" t="inlineStr">
        <is>
          <t>Sensitivity — DCF Enterprise Value (Exit Multiple Method): WACC vs. Exit Multiple</t>
        </is>
      </c>
    </row>
    <row r="62">
      <c r="B62" s="18" t="inlineStr">
        <is>
          <t>WACC ↓   /   Exit multiple →</t>
        </is>
      </c>
      <c r="C62" s="87">
        <f>Assumptions!$C$24-1.0</f>
        <v>4.5</v>
      </c>
      <c r="D62" s="87">
        <f>Assumptions!$C$24-0.5</f>
        <v>5</v>
      </c>
      <c r="E62" s="87">
        <f>Assumptions!$C$24</f>
        <v>5.5</v>
      </c>
      <c r="F62" s="87">
        <f>Assumptions!$C$24+0.5</f>
        <v>6</v>
      </c>
      <c r="G62" s="87">
        <f>Assumptions!$C$24+1.0</f>
        <v>6.5</v>
      </c>
    </row>
    <row r="63">
      <c r="B63" s="65">
        <f>$C$36-0.02</f>
        <v>0.13376875</v>
      </c>
      <c r="C63" s="30">
        <f>SUMPRODUCT($C$15:$G$15,1/(1+$B63)^$C$20:$G$20)+$D$41*C$62/(1+$B63)^$G$19</f>
        <v>13.1317627689629</v>
      </c>
      <c r="D63" s="30">
        <f>SUMPRODUCT($C$15:$G$15,1/(1+$B63)^$C$20:$G$20)+$D$41*D$62/(1+$B63)^$G$19</f>
        <v>13.9113907506771</v>
      </c>
      <c r="E63" s="30">
        <f>SUMPRODUCT($C$15:$G$15,1/(1+$B63)^$C$20:$G$20)+$D$41*E$62/(1+$B63)^$G$19</f>
        <v>14.6910187323912</v>
      </c>
      <c r="F63" s="30">
        <f>SUMPRODUCT($C$15:$G$15,1/(1+$B63)^$C$20:$G$20)+$D$41*F$62/(1+$B63)^$G$19</f>
        <v>15.4706467141054</v>
      </c>
      <c r="G63" s="30">
        <f>SUMPRODUCT($C$15:$G$15,1/(1+$B63)^$C$20:$G$20)+$D$41*G$62/(1+$B63)^$G$19</f>
        <v>16.2502746958195</v>
      </c>
    </row>
    <row r="64">
      <c r="B64" s="65">
        <f>$C$36-0.01</f>
        <v>0.14376875</v>
      </c>
      <c r="C64" s="30">
        <f>SUMPRODUCT($C$15:$G$15,1/(1+$B64)^$C$20:$G$20)+$D$41*C$62/(1+$B64)^$G$19</f>
        <v>12.7029762071139</v>
      </c>
      <c r="D64" s="30">
        <f>SUMPRODUCT($C$15:$G$15,1/(1+$B64)^$C$20:$G$20)+$D$41*D$62/(1+$B64)^$G$19</f>
        <v>13.4491134138633</v>
      </c>
      <c r="E64" s="30">
        <f>SUMPRODUCT($C$15:$G$15,1/(1+$B64)^$C$20:$G$20)+$D$41*E$62/(1+$B64)^$G$19</f>
        <v>14.1952506206128</v>
      </c>
      <c r="F64" s="30">
        <f>SUMPRODUCT($C$15:$G$15,1/(1+$B64)^$C$20:$G$20)+$D$41*F$62/(1+$B64)^$G$19</f>
        <v>14.9413878273623</v>
      </c>
      <c r="G64" s="30">
        <f>SUMPRODUCT($C$15:$G$15,1/(1+$B64)^$C$20:$G$20)+$D$41*G$62/(1+$B64)^$G$19</f>
        <v>15.6875250341118</v>
      </c>
    </row>
    <row r="65">
      <c r="B65" s="65">
        <f>$C$36</f>
        <v>0.15376875</v>
      </c>
      <c r="C65" s="30">
        <f>SUMPRODUCT($C$15:$G$15,1/(1+$B65)^$C$20:$G$20)+$D$41*C$62/(1+$B65)^$G$19</f>
        <v>12.2942106216902</v>
      </c>
      <c r="D65" s="30">
        <f>SUMPRODUCT($C$15:$G$15,1/(1+$B65)^$C$20:$G$20)+$D$41*D$62/(1+$B65)^$G$19</f>
        <v>13.0085687171296</v>
      </c>
      <c r="E65" s="59">
        <f>SUMPRODUCT($C$15:$G$15,1/(1+$B65)^$C$20:$G$20)+$D$41*E$62/(1+$B65)^$G$19</f>
        <v>13.7229268125689</v>
      </c>
      <c r="F65" s="30">
        <f>SUMPRODUCT($C$15:$G$15,1/(1+$B65)^$C$20:$G$20)+$D$41*F$62/(1+$B65)^$G$19</f>
        <v>14.4372849080083</v>
      </c>
      <c r="G65" s="30">
        <f>SUMPRODUCT($C$15:$G$15,1/(1+$B65)^$C$20:$G$20)+$D$41*G$62/(1+$B65)^$G$19</f>
        <v>15.1516430034476</v>
      </c>
    </row>
    <row r="66">
      <c r="B66" s="65">
        <f>$C$36+0.01</f>
        <v>0.16376875</v>
      </c>
      <c r="C66" s="30">
        <f>SUMPRODUCT($C$15:$G$15,1/(1+$B66)^$C$20:$G$20)+$D$41*C$62/(1+$B66)^$G$19</f>
        <v>11.9043374051759</v>
      </c>
      <c r="D66" s="30">
        <f>SUMPRODUCT($C$15:$G$15,1/(1+$B66)^$C$20:$G$20)+$D$41*D$62/(1+$B66)^$G$19</f>
        <v>12.5885268567052</v>
      </c>
      <c r="E66" s="30">
        <f>SUMPRODUCT($C$15:$G$15,1/(1+$B66)^$C$20:$G$20)+$D$41*E$62/(1+$B66)^$G$19</f>
        <v>13.2727163082346</v>
      </c>
      <c r="F66" s="30">
        <f>SUMPRODUCT($C$15:$G$15,1/(1+$B66)^$C$20:$G$20)+$D$41*F$62/(1+$B66)^$G$19</f>
        <v>13.956905759764</v>
      </c>
      <c r="G66" s="30">
        <f>SUMPRODUCT($C$15:$G$15,1/(1+$B66)^$C$20:$G$20)+$D$41*G$62/(1+$B66)^$G$19</f>
        <v>14.6410952112933</v>
      </c>
    </row>
    <row r="67">
      <c r="B67" s="65">
        <f>$C$36+0.02</f>
        <v>0.17376875</v>
      </c>
      <c r="C67" s="30">
        <f>SUMPRODUCT($C$15:$G$15,1/(1+$B67)^$C$20:$G$20)+$D$41*C$62/(1+$B67)^$G$19</f>
        <v>11.5323013392616</v>
      </c>
      <c r="D67" s="30">
        <f>SUMPRODUCT($C$15:$G$15,1/(1+$B67)^$C$20:$G$20)+$D$41*D$62/(1+$B67)^$G$19</f>
        <v>12.1878381981818</v>
      </c>
      <c r="E67" s="30">
        <f>SUMPRODUCT($C$15:$G$15,1/(1+$B67)^$C$20:$G$20)+$D$41*E$62/(1+$B67)^$G$19</f>
        <v>12.843375057102</v>
      </c>
      <c r="F67" s="30">
        <f>SUMPRODUCT($C$15:$G$15,1/(1+$B67)^$C$20:$G$20)+$D$41*F$62/(1+$B67)^$G$19</f>
        <v>13.4989119160222</v>
      </c>
      <c r="G67" s="30">
        <f>SUMPRODUCT($C$15:$G$15,1/(1+$B67)^$C$20:$G$20)+$D$41*G$62/(1+$B67)^$G$19</f>
        <v>14.1544487749424</v>
      </c>
    </row>
    <row r="69" ht="40" customHeight="1" s="12">
      <c r="B69" s="7"/>
    </row>
  </sheetData>
  <mergeCells count="9">
    <mergeCell ref="B3:G3"/>
    <mergeCell ref="B2:G2"/>
    <mergeCell ref="B24:G24"/>
    <mergeCell ref="B38:G38"/>
    <mergeCell ref="B61:G61"/>
    <mergeCell ref="B18:G18"/>
    <mergeCell ref="B53:G53"/>
    <mergeCell ref="B69:G69"/>
    <mergeCell ref="B6:G6"/>
  </mergeCells>
  <pageMargins left="0.3" right="0.3" top="0.4" bottom="0.4" header="0.511811023622047" footer="0.511811023622047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34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0" customWidth="1" style="12" min="2" max="2"/>
    <col width="16" customWidth="1" style="12" min="3" max="3"/>
    <col width="14" customWidth="1" style="12" min="4" max="4"/>
    <col width="16" customWidth="1" style="12" min="5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SOURCES &amp; USES</t>
        </is>
      </c>
    </row>
    <row r="3" ht="15.75" customHeight="1" s="12">
      <c r="B3" s="3" t="inlineStr">
        <is>
          <t>Active Case Transaction Funding Structure</t>
        </is>
      </c>
      <c r="C3" s="77" t="n"/>
      <c r="D3" s="77" t="n"/>
      <c r="E3" s="77" t="n"/>
      <c r="F3" s="77" t="n"/>
    </row>
    <row r="5" ht="18" customHeight="1" s="12">
      <c r="B5" s="9" t="inlineStr">
        <is>
          <t>Uses of Funds</t>
        </is>
      </c>
    </row>
    <row r="6" ht="15" customHeight="1" s="12">
      <c r="B6" s="18" t="inlineStr">
        <is>
          <t>Use</t>
        </is>
      </c>
      <c r="C6" s="19" t="inlineStr">
        <is>
          <t>$M</t>
        </is>
      </c>
      <c r="D6" s="19" t="inlineStr">
        <is>
          <t>% of Total</t>
        </is>
      </c>
      <c r="E6" s="18" t="n"/>
      <c r="F6" s="18" t="n"/>
    </row>
    <row r="7" ht="15" customHeight="1" s="12">
      <c r="B7" s="20" t="inlineStr">
        <is>
          <t>Enterprise Value (Purchase Price)</t>
        </is>
      </c>
      <c r="C7" s="41">
        <f>Valuation!C8</f>
        <v>11</v>
      </c>
      <c r="D7" s="29">
        <f>C7/C10</f>
        <v>0.964066608238387</v>
      </c>
    </row>
    <row r="8" ht="15" customHeight="1" s="12">
      <c r="B8" s="20" t="inlineStr">
        <is>
          <t>Cash to Balance Sheet (Minimum Cash)</t>
        </is>
      </c>
      <c r="C8" s="41">
        <f>Assumptions!C70</f>
        <v>0.3</v>
      </c>
      <c r="D8" s="29">
        <f>C8/C10</f>
        <v>0.0262927256792287</v>
      </c>
    </row>
    <row r="9" ht="15" customHeight="1" s="12">
      <c r="B9" s="20" t="inlineStr">
        <is>
          <t>Buyer Deal Costs (Legal, QoE, Accounting)</t>
        </is>
      </c>
      <c r="C9" s="30">
        <f>Assumptions!C60*C7</f>
        <v>0.11</v>
      </c>
      <c r="D9" s="29">
        <f>C9/C10</f>
        <v>0.00964066608238387</v>
      </c>
    </row>
    <row r="10" ht="15" customHeight="1" s="12">
      <c r="B10" s="60" t="inlineStr">
        <is>
          <t>Total Uses</t>
        </is>
      </c>
      <c r="C10" s="53">
        <f>SUM(C7:C9)</f>
        <v>11.41</v>
      </c>
    </row>
    <row r="12" ht="18" customHeight="1" s="12">
      <c r="B12" s="9" t="inlineStr">
        <is>
          <t>Sources of Funds</t>
        </is>
      </c>
    </row>
    <row r="13" ht="15" customHeight="1" s="12">
      <c r="B13" s="18" t="inlineStr">
        <is>
          <t>Source</t>
        </is>
      </c>
      <c r="C13" s="19" t="inlineStr">
        <is>
          <t>$M</t>
        </is>
      </c>
      <c r="D13" s="19" t="inlineStr">
        <is>
          <t>% of Total</t>
        </is>
      </c>
      <c r="E13" s="18" t="n"/>
      <c r="F13" s="18" t="n"/>
    </row>
    <row r="14" ht="15" customHeight="1" s="12">
      <c r="B14" s="20" t="inlineStr">
        <is>
          <t>Senior Debt</t>
        </is>
      </c>
      <c r="C14" s="41">
        <f>Assumptions!C57*Assumptions!C46</f>
        <v>5</v>
      </c>
      <c r="D14" s="29">
        <f>C14/C18</f>
        <v>0.438212094653812</v>
      </c>
    </row>
    <row r="15" ht="15" customHeight="1" s="12">
      <c r="B15" s="20" t="inlineStr">
        <is>
          <t>Seller Note</t>
        </is>
      </c>
      <c r="C15" s="41">
        <f>Assumptions!C58*C7</f>
        <v>1.1</v>
      </c>
      <c r="D15" s="29">
        <f>C15/C18</f>
        <v>0.0964066608238387</v>
      </c>
    </row>
    <row r="16" ht="15" customHeight="1" s="12">
      <c r="B16" s="20" t="inlineStr">
        <is>
          <t>Seller Equity Rollover</t>
        </is>
      </c>
      <c r="C16" s="41">
        <f>Assumptions!C59*C7</f>
        <v>1.65</v>
      </c>
      <c r="D16" s="29">
        <f>C16/C18</f>
        <v>0.144609991235758</v>
      </c>
    </row>
    <row r="17" ht="15" customHeight="1" s="12">
      <c r="B17" s="20" t="inlineStr">
        <is>
          <t>Sponsor / Buyer New Equity (Plug)</t>
        </is>
      </c>
      <c r="C17" s="30">
        <f>C10-C14-C15-C16</f>
        <v>3.66</v>
      </c>
      <c r="D17" s="29">
        <f>C17/C18</f>
        <v>0.320771253286591</v>
      </c>
    </row>
    <row r="18" ht="15" customHeight="1" s="12">
      <c r="B18" s="60" t="inlineStr">
        <is>
          <t>Total Sources</t>
        </is>
      </c>
      <c r="C18" s="53">
        <f>SUM(C14:C17)</f>
        <v>11.41</v>
      </c>
    </row>
    <row r="20" ht="15" customHeight="1" s="12">
      <c r="B20" s="16" t="inlineStr">
        <is>
          <t>Check (Sources – Uses)</t>
        </is>
      </c>
      <c r="C20" s="30">
        <f>C18-C10</f>
        <v>0</v>
      </c>
    </row>
    <row r="22" ht="18" customHeight="1" s="12">
      <c r="B22" s="9" t="inlineStr">
        <is>
          <t>Capital Structure Ratios</t>
        </is>
      </c>
    </row>
    <row r="23" ht="15" customHeight="1" s="12">
      <c r="B23" s="16" t="inlineStr">
        <is>
          <t>Senior Debt / Adjusted EBITDA (Leverage Check)</t>
        </is>
      </c>
      <c r="C23" s="56">
        <f>C14/Assumptions!C46</f>
        <v>2.5</v>
      </c>
    </row>
    <row r="24" ht="15" customHeight="1" s="12">
      <c r="B24" s="16" t="inlineStr">
        <is>
          <t>Sponsor Equity / Total Sources</t>
        </is>
      </c>
      <c r="C24" s="29">
        <f>C17/C18</f>
        <v>0.320771253286591</v>
      </c>
    </row>
    <row r="25" ht="15" customHeight="1" s="12">
      <c r="B25" s="16" t="inlineStr">
        <is>
          <t>Seller Continuing Interest (Note + Rollover) / EV</t>
        </is>
      </c>
      <c r="C25" s="29">
        <f>(C15+C16)/C7</f>
        <v>0.25</v>
      </c>
    </row>
    <row r="27" ht="18" customHeight="1" s="12">
      <c r="B27" s="9" t="inlineStr">
        <is>
          <t>Seller Net Proceeds at Close  (Sell-Side View)</t>
        </is>
      </c>
    </row>
    <row r="28">
      <c r="B28" s="20" t="inlineStr">
        <is>
          <t>Enterprise Value (Headline Price)</t>
        </is>
      </c>
      <c r="C28" s="30">
        <f>C7</f>
        <v>11</v>
      </c>
    </row>
    <row r="29">
      <c r="B29" s="20" t="inlineStr">
        <is>
          <t>(–) Seller Note (deferred; repaid at exit)</t>
        </is>
      </c>
      <c r="C29" s="30">
        <f>-C15</f>
        <v>-1.1</v>
      </c>
    </row>
    <row r="30">
      <c r="B30" s="20" t="inlineStr">
        <is>
          <t>(–) Equity Rollover (reinvested in NewCo)</t>
        </is>
      </c>
      <c r="C30" s="30">
        <f>-C16</f>
        <v>-1.65</v>
      </c>
    </row>
    <row r="31">
      <c r="B31" s="60" t="inlineStr">
        <is>
          <t>Cash Consideration at Close</t>
        </is>
      </c>
      <c r="C31" s="53">
        <f>SUM(C28:C30)</f>
        <v>8.25</v>
      </c>
    </row>
    <row r="32">
      <c r="B32" s="20" t="inlineStr">
        <is>
          <t>(–) Sell-Side Advisor Fee (Advisor Fee tab)</t>
        </is>
      </c>
      <c r="C32" s="41">
        <f>-'Advisor Fee'!C18</f>
        <v>-0.7</v>
      </c>
    </row>
    <row r="33">
      <c r="B33" s="60" t="inlineStr">
        <is>
          <t>Net Cash Proceeds to Seller at Close</t>
        </is>
      </c>
      <c r="C33" s="53">
        <f>C31+C32</f>
        <v>7.55</v>
      </c>
    </row>
    <row r="34">
      <c r="B34" s="16" t="inlineStr">
        <is>
          <t>Advisor Fee as % of Cash Consideration</t>
        </is>
      </c>
      <c r="C34" s="29">
        <f>-C32/C31</f>
        <v>0.0848484848484849</v>
      </c>
    </row>
  </sheetData>
  <mergeCells count="6">
    <mergeCell ref="B27:E27"/>
    <mergeCell ref="B2:F2"/>
    <mergeCell ref="B12:E12"/>
    <mergeCell ref="B3:F3"/>
    <mergeCell ref="B5:E5"/>
    <mergeCell ref="B22:E22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G22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53.42578125" bestFit="1" customWidth="1" style="12" min="2" max="2"/>
    <col width="13" customWidth="1" style="12" min="3" max="5"/>
    <col width="19" customWidth="1" style="12" min="6" max="6"/>
    <col width="15" customWidth="1" style="12" min="7" max="7"/>
    <col width="4" customWidth="1" style="12" min="8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ADVISOR SUCCESS FEE</t>
        </is>
      </c>
    </row>
    <row r="3" ht="15.75" customHeight="1" s="12">
      <c r="B3" s="3" t="inlineStr">
        <is>
          <t>Modified Lehman Formula on Transaction Value — Paid by the Seller from Sale Proceeds</t>
        </is>
      </c>
      <c r="C3" s="77" t="n"/>
      <c r="D3" s="77" t="n"/>
      <c r="E3" s="77" t="n"/>
      <c r="F3" s="77" t="n"/>
      <c r="G3" s="77" t="n"/>
    </row>
    <row r="5" ht="15" customHeight="1" s="12">
      <c r="B5" s="13" t="inlineStr">
        <is>
          <t>Transaction Value (Basis = Enterprise Value)</t>
        </is>
      </c>
      <c r="C5" s="61">
        <f>Valuation!C8</f>
        <v>11</v>
      </c>
    </row>
    <row r="7" ht="18" customHeight="1" s="12">
      <c r="B7" s="9" t="inlineStr">
        <is>
          <t>Modified Lehman Fee Tier Schedule</t>
        </is>
      </c>
    </row>
    <row r="8" ht="15" customHeight="1" s="12">
      <c r="B8" s="18" t="inlineStr">
        <is>
          <t>Tier</t>
        </is>
      </c>
      <c r="C8" s="19" t="inlineStr">
        <is>
          <t>From ($M)</t>
        </is>
      </c>
      <c r="D8" s="19" t="inlineStr">
        <is>
          <t>To ($M)</t>
        </is>
      </c>
      <c r="E8" s="19" t="inlineStr">
        <is>
          <t>Rate (%)</t>
        </is>
      </c>
      <c r="F8" s="19" t="inlineStr">
        <is>
          <t>Applicable Base ($M)</t>
        </is>
      </c>
      <c r="G8" s="19" t="inlineStr">
        <is>
          <t>Tier Fee ($M)</t>
        </is>
      </c>
    </row>
    <row r="9" ht="15" customHeight="1" s="12">
      <c r="B9" s="62" t="str">
        <f>Assumptions!B81</f>
        <v>Tier 1</v>
      </c>
      <c r="C9" s="63">
        <f>Assumptions!C81</f>
        <v>0</v>
      </c>
      <c r="D9" s="63">
        <f>Assumptions!D81</f>
        <v>5</v>
      </c>
      <c r="E9" s="44">
        <f>Assumptions!E81</f>
        <v>0.07</v>
      </c>
      <c r="F9" s="30">
        <f>MIN(MAX(C5-C9,0),D9-C9)</f>
        <v>5</v>
      </c>
      <c r="G9" s="30">
        <f>F9*E9</f>
        <v>0.35</v>
      </c>
    </row>
    <row r="10" ht="15" customHeight="1" s="12">
      <c r="B10" s="62" t="str">
        <f>Assumptions!B82</f>
        <v>Tier 2</v>
      </c>
      <c r="C10" s="63">
        <f>Assumptions!C82</f>
        <v>5</v>
      </c>
      <c r="D10" s="63">
        <f>Assumptions!D82</f>
        <v>10</v>
      </c>
      <c r="E10" s="44">
        <f>Assumptions!E82</f>
        <v>0.06</v>
      </c>
      <c r="F10" s="30">
        <f>MIN(MAX(C5-C10,0),D10-C10)</f>
        <v>5</v>
      </c>
      <c r="G10" s="30">
        <f>F10*E10</f>
        <v>0.3</v>
      </c>
    </row>
    <row r="11" ht="15" customHeight="1" s="12">
      <c r="B11" s="62" t="str">
        <f>Assumptions!B83</f>
        <v>Tier 3</v>
      </c>
      <c r="C11" s="63">
        <f>Assumptions!C83</f>
        <v>10</v>
      </c>
      <c r="D11" s="63">
        <f>Assumptions!D83</f>
        <v>15</v>
      </c>
      <c r="E11" s="44">
        <f>Assumptions!E83</f>
        <v>0.05</v>
      </c>
      <c r="F11" s="30">
        <f>MIN(MAX(C5-C11,0),D11-C11)</f>
        <v>1</v>
      </c>
      <c r="G11" s="30">
        <f>F11*E11</f>
        <v>0.05</v>
      </c>
    </row>
    <row r="12" ht="15" customHeight="1" s="12">
      <c r="B12" s="62" t="str">
        <f>Assumptions!B84</f>
        <v>Tier 4</v>
      </c>
      <c r="C12" s="63">
        <f>Assumptions!C84</f>
        <v>15</v>
      </c>
      <c r="D12" s="63">
        <f>Assumptions!D84</f>
        <v>20</v>
      </c>
      <c r="E12" s="44">
        <f>Assumptions!E84</f>
        <v>0.04</v>
      </c>
      <c r="F12" s="30">
        <f>MIN(MAX(C5-C12,0),D12-C12)</f>
        <v>0</v>
      </c>
      <c r="G12" s="30">
        <f>F12*E12</f>
        <v>0</v>
      </c>
    </row>
    <row r="13" ht="15" customHeight="1" s="12">
      <c r="B13" s="62" t="str">
        <f>Assumptions!B85</f>
        <v>Tier 5 (&gt; $20.0M)</v>
      </c>
      <c r="C13" s="63">
        <f>Assumptions!C85</f>
        <v>20</v>
      </c>
      <c r="D13" s="64">
        <f>Assumptions!D85</f>
        <v>9999</v>
      </c>
      <c r="E13" s="44">
        <f>Assumptions!E85</f>
        <v>0.03</v>
      </c>
      <c r="F13" s="30">
        <f>MIN(MAX(C5-C13,0),D13-C13)</f>
        <v>0</v>
      </c>
      <c r="G13" s="30">
        <f>F13*E13</f>
        <v>0</v>
      </c>
    </row>
    <row r="14" ht="15" customHeight="1" s="12">
      <c r="B14" s="60" t="inlineStr">
        <is>
          <t>Total Tiered Fee</t>
        </is>
      </c>
      <c r="C14" s="88" t="n"/>
      <c r="D14" s="88" t="n"/>
      <c r="E14" s="88" t="n"/>
      <c r="F14" s="32">
        <f>SUM(F9:F13)</f>
        <v>11</v>
      </c>
      <c r="G14" s="53">
        <f>SUM(G9:G13)</f>
        <v>0.7</v>
      </c>
    </row>
    <row r="16" ht="18" customHeight="1" s="12">
      <c r="B16" s="9" t="inlineStr">
        <is>
          <t>Fee Floor Check &amp; Final Fee</t>
        </is>
      </c>
    </row>
    <row r="17" ht="15" customHeight="1" s="12">
      <c r="B17" s="16" t="inlineStr">
        <is>
          <t>Minimum Fee Floor</t>
        </is>
      </c>
      <c r="C17" s="41">
        <f>Assumptions!C86</f>
        <v>0.25</v>
      </c>
    </row>
    <row r="18" ht="15" customHeight="1" s="12">
      <c r="B18" s="13" t="inlineStr">
        <is>
          <t>Advisor Fee (Greater of Tiered Fee or Minimum Floor)</t>
        </is>
      </c>
      <c r="C18" s="53">
        <f>MAX(G14,C17)</f>
        <v>0.7</v>
      </c>
    </row>
    <row r="19" ht="15" customHeight="1" s="12">
      <c r="B19" s="16" t="inlineStr">
        <is>
          <t>Advisor Fee (% of Transaction Value, Blended/Effective Rate)</t>
        </is>
      </c>
      <c r="C19" s="65">
        <f>C18/C5</f>
        <v>0.0636363636363636</v>
      </c>
    </row>
    <row r="20" ht="15" customHeight="1" s="12">
      <c r="B20" s="16" t="inlineStr">
        <is>
          <t>Advisor Fee ($, actual dollars)</t>
        </is>
      </c>
      <c r="C20" s="66">
        <f>C18*1000000</f>
        <v>700000</v>
      </c>
    </row>
    <row r="22" ht="27.75" customHeight="1" s="12">
      <c r="B22" s="7" t="n"/>
    </row>
  </sheetData>
  <mergeCells count="6">
    <mergeCell ref="B3:G3"/>
    <mergeCell ref="B2:G2"/>
    <mergeCell ref="B16:G16"/>
    <mergeCell ref="B22:G22"/>
    <mergeCell ref="B7:G7"/>
    <mergeCell ref="B14:E14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P25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18" customWidth="1" style="12" min="2" max="2"/>
    <col width="15" customWidth="1" style="12" min="3" max="3"/>
    <col width="18" customWidth="1" style="12" min="4" max="4"/>
    <col width="15" customWidth="1" style="12" min="5" max="7"/>
    <col width="3" customWidth="1" style="12" min="8" max="8"/>
    <col width="2" customWidth="1" style="12" min="9" max="9"/>
    <col width="11" customWidth="1" style="12" min="10" max="14"/>
    <col width="13" customWidth="1" style="12" min="15" max="15"/>
    <col width="17" customWidth="1" style="12" min="16" max="16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SENSITIVITY ANALYSIS</t>
        </is>
      </c>
    </row>
    <row r="3" ht="15.75" customHeight="1" s="12">
      <c r="B3" s="3" t="inlineStr">
        <is>
          <t>EV / EBITDA Multiple  →  Enterprise Value  →  Advisor Fee</t>
        </is>
      </c>
      <c r="C3" s="77" t="n"/>
      <c r="D3" s="77" t="n"/>
      <c r="E3" s="77" t="n"/>
      <c r="F3" s="77" t="n"/>
      <c r="G3" s="77" t="n"/>
    </row>
    <row r="5" ht="18" customHeight="1" s="12">
      <c r="B5" s="9" t="inlineStr">
        <is>
          <t>Sensitivity Table (Adjusted EBITDA held constant at 2025E entry level)</t>
        </is>
      </c>
      <c r="J5" s="67" t="inlineStr">
        <is>
          <t>Supporting Fee Tier Build (non-array; mirrors Advisor Fee sheet)</t>
        </is>
      </c>
    </row>
    <row r="6" ht="15" customHeight="1" s="12">
      <c r="B6" s="19" t="inlineStr">
        <is>
          <t>EV / EBITDA Multiple</t>
        </is>
      </c>
      <c r="C6" s="19" t="inlineStr">
        <is>
          <t>Adj. EBITDA ($M)</t>
        </is>
      </c>
      <c r="D6" s="19" t="inlineStr">
        <is>
          <t>Enterprise Value ($M)</t>
        </is>
      </c>
      <c r="E6" s="19" t="inlineStr">
        <is>
          <t>Advisor Fee ($M)</t>
        </is>
      </c>
      <c r="F6" s="19" t="inlineStr">
        <is>
          <t>Advisor Fee (%)</t>
        </is>
      </c>
      <c r="G6" s="19" t="inlineStr">
        <is>
          <t>Equity Value ($M)</t>
        </is>
      </c>
      <c r="H6" s="18" t="n"/>
      <c r="J6" s="19" t="inlineStr">
        <is>
          <t>Tier 1 Fee</t>
        </is>
      </c>
      <c r="K6" s="19" t="inlineStr">
        <is>
          <t>Tier 2 Fee</t>
        </is>
      </c>
      <c r="L6" s="19" t="inlineStr">
        <is>
          <t>Tier 3 Fee</t>
        </is>
      </c>
      <c r="M6" s="19" t="inlineStr">
        <is>
          <t>Tier 4 Fee</t>
        </is>
      </c>
      <c r="N6" s="19" t="inlineStr">
        <is>
          <t>Tier 5 Fee</t>
        </is>
      </c>
      <c r="O6" s="19" t="inlineStr">
        <is>
          <t>Tiered Total</t>
        </is>
      </c>
      <c r="P6" s="19" t="inlineStr">
        <is>
          <t>Final Fee (w/ floor)</t>
        </is>
      </c>
    </row>
    <row r="7" ht="15" customHeight="1" s="12">
      <c r="B7" s="23" t="n">
        <v>4.5</v>
      </c>
      <c r="C7" s="41">
        <f>Assumptions!C46</f>
        <v>2</v>
      </c>
      <c r="D7" s="30">
        <f>B7*C7</f>
        <v>9</v>
      </c>
      <c r="E7" s="30">
        <f>P7</f>
        <v>0.59</v>
      </c>
      <c r="F7" s="65">
        <f>E7/D7</f>
        <v>0.0655555555555556</v>
      </c>
      <c r="G7" s="30">
        <f>D7-Assumptions!C54</f>
        <v>9</v>
      </c>
      <c r="J7" s="30">
        <f>MIN(MAX($D7-Assumptions!$C$81,0),Assumptions!$D$81-Assumptions!$C$81)*Assumptions!$E$81</f>
        <v>0.35</v>
      </c>
      <c r="K7" s="30">
        <f>MIN(MAX($D7-Assumptions!$C$82,0),Assumptions!$D$82-Assumptions!$C$82)*Assumptions!$E$82</f>
        <v>0.24</v>
      </c>
      <c r="L7" s="30">
        <f>MIN(MAX($D7-Assumptions!$C$83,0),Assumptions!$D$83-Assumptions!$C$83)*Assumptions!$E$83</f>
        <v>0</v>
      </c>
      <c r="M7" s="30">
        <f>MIN(MAX($D7-Assumptions!$C$84,0),Assumptions!$D$84-Assumptions!$C$84)*Assumptions!$E$84</f>
        <v>0</v>
      </c>
      <c r="N7" s="30">
        <f>MIN(MAX($D7-Assumptions!$C$85,0),Assumptions!$D$85-Assumptions!$C$85)*Assumptions!$E$85</f>
        <v>0</v>
      </c>
      <c r="O7" s="30">
        <f>SUM(J7:N7)</f>
        <v>0.59</v>
      </c>
      <c r="P7" s="46">
        <f>MAX(O7,Assumptions!C86)</f>
        <v>0.59</v>
      </c>
    </row>
    <row r="8" ht="15" customHeight="1" s="12">
      <c r="B8" s="23" t="n">
        <v>4.75</v>
      </c>
      <c r="C8" s="41">
        <f>Assumptions!C46</f>
        <v>2</v>
      </c>
      <c r="D8" s="30">
        <f>B8*C8</f>
        <v>9.5</v>
      </c>
      <c r="E8" s="30">
        <f>P8</f>
        <v>0.62</v>
      </c>
      <c r="F8" s="65">
        <f>E8/D8</f>
        <v>0.0652631578947369</v>
      </c>
      <c r="G8" s="30">
        <f>D8-Assumptions!C54</f>
        <v>9.5</v>
      </c>
      <c r="J8" s="30">
        <f>MIN(MAX($D8-Assumptions!$C$81,0),Assumptions!$D$81-Assumptions!$C$81)*Assumptions!$E$81</f>
        <v>0.35</v>
      </c>
      <c r="K8" s="30">
        <f>MIN(MAX($D8-Assumptions!$C$82,0),Assumptions!$D$82-Assumptions!$C$82)*Assumptions!$E$82</f>
        <v>0.27</v>
      </c>
      <c r="L8" s="30">
        <f>MIN(MAX($D8-Assumptions!$C$83,0),Assumptions!$D$83-Assumptions!$C$83)*Assumptions!$E$83</f>
        <v>0</v>
      </c>
      <c r="M8" s="30">
        <f>MIN(MAX($D8-Assumptions!$C$84,0),Assumptions!$D$84-Assumptions!$C$84)*Assumptions!$E$84</f>
        <v>0</v>
      </c>
      <c r="N8" s="30">
        <f>MIN(MAX($D8-Assumptions!$C$85,0),Assumptions!$D$85-Assumptions!$C$85)*Assumptions!$E$85</f>
        <v>0</v>
      </c>
      <c r="O8" s="30">
        <f>SUM(J8:N8)</f>
        <v>0.62</v>
      </c>
      <c r="P8" s="46">
        <f>MAX(O8,Assumptions!C86)</f>
        <v>0.62</v>
      </c>
    </row>
    <row r="9" ht="15" customHeight="1" s="12">
      <c r="B9" s="23" t="n">
        <v>5</v>
      </c>
      <c r="C9" s="41">
        <f>Assumptions!C46</f>
        <v>2</v>
      </c>
      <c r="D9" s="30">
        <f>B9*C9</f>
        <v>10</v>
      </c>
      <c r="E9" s="30">
        <f>P9</f>
        <v>0.65</v>
      </c>
      <c r="F9" s="65">
        <f>E9/D9</f>
        <v>0.065</v>
      </c>
      <c r="G9" s="30">
        <f>D9-Assumptions!C54</f>
        <v>10</v>
      </c>
      <c r="J9" s="30">
        <f>MIN(MAX($D9-Assumptions!$C$81,0),Assumptions!$D$81-Assumptions!$C$81)*Assumptions!$E$81</f>
        <v>0.35</v>
      </c>
      <c r="K9" s="30">
        <f>MIN(MAX($D9-Assumptions!$C$82,0),Assumptions!$D$82-Assumptions!$C$82)*Assumptions!$E$82</f>
        <v>0.3</v>
      </c>
      <c r="L9" s="30">
        <f>MIN(MAX($D9-Assumptions!$C$83,0),Assumptions!$D$83-Assumptions!$C$83)*Assumptions!$E$83</f>
        <v>0</v>
      </c>
      <c r="M9" s="30">
        <f>MIN(MAX($D9-Assumptions!$C$84,0),Assumptions!$D$84-Assumptions!$C$84)*Assumptions!$E$84</f>
        <v>0</v>
      </c>
      <c r="N9" s="30">
        <f>MIN(MAX($D9-Assumptions!$C$85,0),Assumptions!$D$85-Assumptions!$C$85)*Assumptions!$E$85</f>
        <v>0</v>
      </c>
      <c r="O9" s="30">
        <f>SUM(J9:N9)</f>
        <v>0.65</v>
      </c>
      <c r="P9" s="46">
        <f>MAX(O9,Assumptions!C86)</f>
        <v>0.65</v>
      </c>
    </row>
    <row r="10" ht="15" customHeight="1" s="12">
      <c r="B10" s="23" t="n">
        <v>5.25</v>
      </c>
      <c r="C10" s="41">
        <f>Assumptions!C46</f>
        <v>2</v>
      </c>
      <c r="D10" s="30">
        <f>B10*C10</f>
        <v>10.5</v>
      </c>
      <c r="E10" s="30">
        <f>P10</f>
        <v>0.675</v>
      </c>
      <c r="F10" s="65">
        <f>E10/D10</f>
        <v>0.0642857142857143</v>
      </c>
      <c r="G10" s="30">
        <f>D10-Assumptions!C54</f>
        <v>10.5</v>
      </c>
      <c r="J10" s="30">
        <f>MIN(MAX($D10-Assumptions!$C$81,0),Assumptions!$D$81-Assumptions!$C$81)*Assumptions!$E$81</f>
        <v>0.35</v>
      </c>
      <c r="K10" s="30">
        <f>MIN(MAX($D10-Assumptions!$C$82,0),Assumptions!$D$82-Assumptions!$C$82)*Assumptions!$E$82</f>
        <v>0.3</v>
      </c>
      <c r="L10" s="30">
        <f>MIN(MAX($D10-Assumptions!$C$83,0),Assumptions!$D$83-Assumptions!$C$83)*Assumptions!$E$83</f>
        <v>0.025</v>
      </c>
      <c r="M10" s="30">
        <f>MIN(MAX($D10-Assumptions!$C$84,0),Assumptions!$D$84-Assumptions!$C$84)*Assumptions!$E$84</f>
        <v>0</v>
      </c>
      <c r="N10" s="30">
        <f>MIN(MAX($D10-Assumptions!$C$85,0),Assumptions!$D$85-Assumptions!$C$85)*Assumptions!$E$85</f>
        <v>0</v>
      </c>
      <c r="O10" s="30">
        <f>SUM(J10:N10)</f>
        <v>0.675</v>
      </c>
      <c r="P10" s="46">
        <f>MAX(O10,Assumptions!C86)</f>
        <v>0.675</v>
      </c>
    </row>
    <row r="11" ht="15" customHeight="1" s="12">
      <c r="B11" s="68" t="n">
        <v>5.5</v>
      </c>
      <c r="C11" s="69">
        <f>Assumptions!C46</f>
        <v>2</v>
      </c>
      <c r="D11" s="70">
        <f>B11*C11</f>
        <v>11</v>
      </c>
      <c r="E11" s="70">
        <f>P11</f>
        <v>0.7</v>
      </c>
      <c r="F11" s="71">
        <f>E11/D11</f>
        <v>0.0636363636363636</v>
      </c>
      <c r="G11" s="70">
        <f>D11-Assumptions!C54</f>
        <v>11</v>
      </c>
      <c r="J11" s="30">
        <f>MIN(MAX($D11-Assumptions!$C$81,0),Assumptions!$D$81-Assumptions!$C$81)*Assumptions!$E$81</f>
        <v>0.35</v>
      </c>
      <c r="K11" s="30">
        <f>MIN(MAX($D11-Assumptions!$C$82,0),Assumptions!$D$82-Assumptions!$C$82)*Assumptions!$E$82</f>
        <v>0.3</v>
      </c>
      <c r="L11" s="30">
        <f>MIN(MAX($D11-Assumptions!$C$83,0),Assumptions!$D$83-Assumptions!$C$83)*Assumptions!$E$83</f>
        <v>0.05</v>
      </c>
      <c r="M11" s="30">
        <f>MIN(MAX($D11-Assumptions!$C$84,0),Assumptions!$D$84-Assumptions!$C$84)*Assumptions!$E$84</f>
        <v>0</v>
      </c>
      <c r="N11" s="30">
        <f>MIN(MAX($D11-Assumptions!$C$85,0),Assumptions!$D$85-Assumptions!$C$85)*Assumptions!$E$85</f>
        <v>0</v>
      </c>
      <c r="O11" s="30">
        <f>SUM(J11:N11)</f>
        <v>0.7</v>
      </c>
      <c r="P11" s="46">
        <f>MAX(O11,Assumptions!C86)</f>
        <v>0.7</v>
      </c>
    </row>
    <row r="12" ht="15" customHeight="1" s="12">
      <c r="B12" s="23" t="n">
        <v>5.75</v>
      </c>
      <c r="C12" s="41">
        <f>Assumptions!C46</f>
        <v>2</v>
      </c>
      <c r="D12" s="30">
        <f>B12*C12</f>
        <v>11.5</v>
      </c>
      <c r="E12" s="30">
        <f>P12</f>
        <v>0.725</v>
      </c>
      <c r="F12" s="65">
        <f>E12/D12</f>
        <v>0.0630434782608696</v>
      </c>
      <c r="G12" s="30">
        <f>D12-Assumptions!C54</f>
        <v>11.5</v>
      </c>
      <c r="J12" s="30">
        <f>MIN(MAX($D12-Assumptions!$C$81,0),Assumptions!$D$81-Assumptions!$C$81)*Assumptions!$E$81</f>
        <v>0.35</v>
      </c>
      <c r="K12" s="30">
        <f>MIN(MAX($D12-Assumptions!$C$82,0),Assumptions!$D$82-Assumptions!$C$82)*Assumptions!$E$82</f>
        <v>0.3</v>
      </c>
      <c r="L12" s="30">
        <f>MIN(MAX($D12-Assumptions!$C$83,0),Assumptions!$D$83-Assumptions!$C$83)*Assumptions!$E$83</f>
        <v>0.075</v>
      </c>
      <c r="M12" s="30">
        <f>MIN(MAX($D12-Assumptions!$C$84,0),Assumptions!$D$84-Assumptions!$C$84)*Assumptions!$E$84</f>
        <v>0</v>
      </c>
      <c r="N12" s="30">
        <f>MIN(MAX($D12-Assumptions!$C$85,0),Assumptions!$D$85-Assumptions!$C$85)*Assumptions!$E$85</f>
        <v>0</v>
      </c>
      <c r="O12" s="30">
        <f>SUM(J12:N12)</f>
        <v>0.725</v>
      </c>
      <c r="P12" s="46">
        <f>MAX(O12,Assumptions!C86)</f>
        <v>0.725</v>
      </c>
    </row>
    <row r="13" ht="15" customHeight="1" s="12">
      <c r="B13" s="23" t="n">
        <v>6</v>
      </c>
      <c r="C13" s="41">
        <f>Assumptions!C46</f>
        <v>2</v>
      </c>
      <c r="D13" s="30">
        <f>B13*C13</f>
        <v>12</v>
      </c>
      <c r="E13" s="30">
        <f>P13</f>
        <v>0.75</v>
      </c>
      <c r="F13" s="65">
        <f>E13/D13</f>
        <v>0.0625</v>
      </c>
      <c r="G13" s="30">
        <f>D13-Assumptions!C54</f>
        <v>12</v>
      </c>
      <c r="J13" s="30">
        <f>MIN(MAX($D13-Assumptions!$C$81,0),Assumptions!$D$81-Assumptions!$C$81)*Assumptions!$E$81</f>
        <v>0.35</v>
      </c>
      <c r="K13" s="30">
        <f>MIN(MAX($D13-Assumptions!$C$82,0),Assumptions!$D$82-Assumptions!$C$82)*Assumptions!$E$82</f>
        <v>0.3</v>
      </c>
      <c r="L13" s="30">
        <f>MIN(MAX($D13-Assumptions!$C$83,0),Assumptions!$D$83-Assumptions!$C$83)*Assumptions!$E$83</f>
        <v>0.1</v>
      </c>
      <c r="M13" s="30">
        <f>MIN(MAX($D13-Assumptions!$C$84,0),Assumptions!$D$84-Assumptions!$C$84)*Assumptions!$E$84</f>
        <v>0</v>
      </c>
      <c r="N13" s="30">
        <f>MIN(MAX($D13-Assumptions!$C$85,0),Assumptions!$D$85-Assumptions!$C$85)*Assumptions!$E$85</f>
        <v>0</v>
      </c>
      <c r="O13" s="30">
        <f>SUM(J13:N13)</f>
        <v>0.75</v>
      </c>
      <c r="P13" s="46">
        <f>MAX(O13,Assumptions!C86)</f>
        <v>0.75</v>
      </c>
    </row>
    <row r="14" ht="15" customHeight="1" s="12">
      <c r="B14" s="23" t="n">
        <v>6.25</v>
      </c>
      <c r="C14" s="41">
        <f>Assumptions!C46</f>
        <v>2</v>
      </c>
      <c r="D14" s="30">
        <f>B14*C14</f>
        <v>12.5</v>
      </c>
      <c r="E14" s="30">
        <f>P14</f>
        <v>0.775</v>
      </c>
      <c r="F14" s="65">
        <f>E14/D14</f>
        <v>0.062</v>
      </c>
      <c r="G14" s="30">
        <f>D14-Assumptions!C54</f>
        <v>12.5</v>
      </c>
      <c r="J14" s="30">
        <f>MIN(MAX($D14-Assumptions!$C$81,0),Assumptions!$D$81-Assumptions!$C$81)*Assumptions!$E$81</f>
        <v>0.35</v>
      </c>
      <c r="K14" s="30">
        <f>MIN(MAX($D14-Assumptions!$C$82,0),Assumptions!$D$82-Assumptions!$C$82)*Assumptions!$E$82</f>
        <v>0.3</v>
      </c>
      <c r="L14" s="30">
        <f>MIN(MAX($D14-Assumptions!$C$83,0),Assumptions!$D$83-Assumptions!$C$83)*Assumptions!$E$83</f>
        <v>0.125</v>
      </c>
      <c r="M14" s="30">
        <f>MIN(MAX($D14-Assumptions!$C$84,0),Assumptions!$D$84-Assumptions!$C$84)*Assumptions!$E$84</f>
        <v>0</v>
      </c>
      <c r="N14" s="30">
        <f>MIN(MAX($D14-Assumptions!$C$85,0),Assumptions!$D$85-Assumptions!$C$85)*Assumptions!$E$85</f>
        <v>0</v>
      </c>
      <c r="O14" s="30">
        <f>SUM(J14:N14)</f>
        <v>0.775</v>
      </c>
      <c r="P14" s="46">
        <f>MAX(O14,Assumptions!C86)</f>
        <v>0.775</v>
      </c>
    </row>
    <row r="15" ht="15" customHeight="1" s="12">
      <c r="B15" s="23" t="n">
        <v>6.5</v>
      </c>
      <c r="C15" s="41">
        <f>Assumptions!C46</f>
        <v>2</v>
      </c>
      <c r="D15" s="30">
        <f>B15*C15</f>
        <v>13</v>
      </c>
      <c r="E15" s="30">
        <f>P15</f>
        <v>0.8</v>
      </c>
      <c r="F15" s="65">
        <f>E15/D15</f>
        <v>0.0615384615384615</v>
      </c>
      <c r="G15" s="30">
        <f>D15-Assumptions!C54</f>
        <v>13</v>
      </c>
      <c r="J15" s="30">
        <f>MIN(MAX($D15-Assumptions!$C$81,0),Assumptions!$D$81-Assumptions!$C$81)*Assumptions!$E$81</f>
        <v>0.35</v>
      </c>
      <c r="K15" s="30">
        <f>MIN(MAX($D15-Assumptions!$C$82,0),Assumptions!$D$82-Assumptions!$C$82)*Assumptions!$E$82</f>
        <v>0.3</v>
      </c>
      <c r="L15" s="30">
        <f>MIN(MAX($D15-Assumptions!$C$83,0),Assumptions!$D$83-Assumptions!$C$83)*Assumptions!$E$83</f>
        <v>0.15</v>
      </c>
      <c r="M15" s="30">
        <f>MIN(MAX($D15-Assumptions!$C$84,0),Assumptions!$D$84-Assumptions!$C$84)*Assumptions!$E$84</f>
        <v>0</v>
      </c>
      <c r="N15" s="30">
        <f>MIN(MAX($D15-Assumptions!$C$85,0),Assumptions!$D$85-Assumptions!$C$85)*Assumptions!$E$85</f>
        <v>0</v>
      </c>
      <c r="O15" s="30">
        <f>SUM(J15:N15)</f>
        <v>0.8</v>
      </c>
      <c r="P15" s="46">
        <f>MAX(O15,Assumptions!C86)</f>
        <v>0.8</v>
      </c>
    </row>
    <row r="17" ht="15" customHeight="1" s="12">
      <c r="B17" s="14" t="n"/>
    </row>
    <row r="19" ht="18" customHeight="1" s="12">
      <c r="B19" s="9" t="inlineStr">
        <is>
          <t>Range Summary</t>
        </is>
      </c>
    </row>
    <row r="20" ht="15" customHeight="1" s="12">
      <c r="B20" s="16" t="inlineStr">
        <is>
          <t>Low (4.50x) Enterprise Value</t>
        </is>
      </c>
      <c r="D20" s="30">
        <f>D7</f>
        <v>9</v>
      </c>
    </row>
    <row r="21" ht="15" customHeight="1" s="12">
      <c r="B21" s="16" t="inlineStr">
        <is>
          <t>High (6.50x) Enterprise Value</t>
        </is>
      </c>
      <c r="D21" s="30">
        <f>D15</f>
        <v>13</v>
      </c>
    </row>
    <row r="22" ht="15" customHeight="1" s="12">
      <c r="B22" s="16" t="inlineStr">
        <is>
          <t>Low (4.50x) Advisor Fee</t>
        </is>
      </c>
      <c r="D22" s="30">
        <f>E7</f>
        <v>0.59</v>
      </c>
    </row>
    <row r="23" ht="15" customHeight="1" s="12">
      <c r="B23" s="16" t="inlineStr">
        <is>
          <t>High (6.50x) Advisor Fee</t>
        </is>
      </c>
      <c r="D23" s="30">
        <f>E15</f>
        <v>0.8</v>
      </c>
    </row>
    <row r="25" ht="18.75" customHeight="1" s="12">
      <c r="B25" s="7" t="n"/>
    </row>
  </sheetData>
  <mergeCells count="5">
    <mergeCell ref="B3:G3"/>
    <mergeCell ref="B2:G2"/>
    <mergeCell ref="B19:G19"/>
    <mergeCell ref="B5:G5"/>
    <mergeCell ref="B25:G25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4" customWidth="1" style="12" min="2" max="2"/>
    <col width="14" customWidth="1" style="12" min="3" max="8"/>
    <col width="4" customWidth="1" style="12" min="9" max="9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RETURNS ANALYSIS</t>
        </is>
      </c>
    </row>
    <row r="3" ht="15.75" customHeight="1" s="12">
      <c r="B3" s="3" t="inlineStr">
        <is>
          <t>Illustrative Buyer (Sponsor) Returns — 5-Year Hold, Active Case</t>
        </is>
      </c>
      <c r="C3" s="77" t="n"/>
      <c r="D3" s="77" t="n"/>
      <c r="E3" s="77" t="n"/>
      <c r="F3" s="77" t="n"/>
      <c r="G3" s="77" t="n"/>
      <c r="H3" s="77" t="n"/>
    </row>
    <row r="5" ht="18" customHeight="1" s="12">
      <c r="B5" s="9" t="inlineStr">
        <is>
          <t>Entry (2025E / Close)</t>
        </is>
      </c>
    </row>
    <row r="6" ht="15" customHeight="1" s="12">
      <c r="B6" s="13" t="inlineStr">
        <is>
          <t>Sponsor Equity Investment</t>
        </is>
      </c>
      <c r="C6" s="61">
        <f>'Sources &amp; Uses'!C17</f>
        <v>3.66</v>
      </c>
    </row>
    <row r="7" ht="15" customHeight="1" s="12">
      <c r="B7" s="16" t="inlineStr">
        <is>
          <t>Seller Equity Rollover (Co-Invest)</t>
        </is>
      </c>
      <c r="C7" s="41">
        <f>'Sources &amp; Uses'!C16</f>
        <v>1.65</v>
      </c>
    </row>
    <row r="8" ht="15" customHeight="1" s="12">
      <c r="B8" s="16" t="inlineStr">
        <is>
          <t>Entry EV / EBITDA Multiple (Active Case)</t>
        </is>
      </c>
      <c r="C8" s="35">
        <f>Assumptions!C51</f>
        <v>5.5</v>
      </c>
    </row>
    <row r="10" ht="18" customHeight="1" s="12">
      <c r="B10" s="9" t="inlineStr">
        <is>
          <t>Exit (2030E / Year 5)</t>
        </is>
      </c>
    </row>
    <row r="11" ht="15" customHeight="1" s="12">
      <c r="B11" s="16" t="inlineStr">
        <is>
          <t>Exit EBITDA (2030E, Active Case)</t>
        </is>
      </c>
      <c r="C11" s="41">
        <f>'Income Statement'!L11</f>
        <v>2.92105561432495</v>
      </c>
    </row>
    <row r="12" ht="15" customHeight="1" s="12">
      <c r="B12" s="16" t="inlineStr">
        <is>
          <t>Exit Multiple (= entry multiple; no expansion)</t>
        </is>
      </c>
      <c r="C12" s="35">
        <f>Assumptions!C51</f>
        <v>5.5</v>
      </c>
    </row>
    <row r="13" ht="15" customHeight="1" s="12">
      <c r="B13" s="13" t="inlineStr">
        <is>
          <t>Exit Enterprise Value</t>
        </is>
      </c>
      <c r="C13" s="53">
        <f>C11*C12</f>
        <v>16.0658058787872</v>
      </c>
    </row>
    <row r="14" ht="15" customHeight="1" s="12">
      <c r="B14" s="16" t="inlineStr">
        <is>
          <t>(–) Exit Senior Debt Outstanding</t>
        </is>
      </c>
      <c r="C14" s="41">
        <f>-'Cash Flow &amp; Debt Schedule'!G10</f>
        <v>-0.833333333333333</v>
      </c>
    </row>
    <row r="15" ht="15" customHeight="1" s="12">
      <c r="B15" s="16" t="inlineStr">
        <is>
          <t>(–) Exit Seller Note Outstanding</t>
        </is>
      </c>
      <c r="C15" s="41">
        <f>-'Cash Flow &amp; Debt Schedule'!G15</f>
        <v>-1.1</v>
      </c>
    </row>
    <row r="16" s="12">
      <c r="B16" s="16" t="inlineStr">
        <is>
          <t>(+) Exit Cash on Balance Sheet (2030E)</t>
        </is>
      </c>
      <c r="C16" s="41">
        <f>'Cash Flow &amp; Debt Schedule'!G35</f>
        <v>3.11206566950598</v>
      </c>
    </row>
    <row r="17" ht="15" customHeight="1" s="12">
      <c r="B17" s="13" t="inlineStr">
        <is>
          <t>Exit Equity Value (EV – Debt – Seller Note + Cash)</t>
        </is>
      </c>
      <c r="C17" s="53">
        <f>C13+C14+C15+C16</f>
        <v>17.2445382149599</v>
      </c>
    </row>
    <row r="18" s="12"/>
    <row r="19" ht="18" customHeight="1" s="12">
      <c r="B19" s="9" t="inlineStr">
        <is>
          <t>Sponsor Proceeds &amp; Returns</t>
        </is>
      </c>
    </row>
    <row r="20" ht="15" customHeight="1" s="12">
      <c r="B20" s="16" t="inlineStr">
        <is>
          <t>Sponsor Ownership % (of Total Equity at Close)</t>
        </is>
      </c>
      <c r="C20" s="29">
        <f>C6/(C6+C7)</f>
        <v>0.689265536723164</v>
      </c>
    </row>
    <row r="21" ht="15" customHeight="1" s="12">
      <c r="B21" s="13" t="inlineStr">
        <is>
          <t>Sponsor Exit Proceeds</t>
        </is>
      </c>
      <c r="C21" s="53">
        <f>C17*C20</f>
        <v>11.8860658882774</v>
      </c>
    </row>
    <row r="22" s="12"/>
    <row r="23" ht="15" customHeight="1" s="12">
      <c r="B23" s="13" t="inlineStr">
        <is>
          <t>MOIC (Multiple of Invested Capital)</t>
        </is>
      </c>
      <c r="C23" s="58">
        <f>C21/C6</f>
        <v>3.24755898586815</v>
      </c>
    </row>
    <row r="24" ht="15" customHeight="1" s="12">
      <c r="B24" s="16" t="inlineStr">
        <is>
          <t>Holding Period (Years)</t>
        </is>
      </c>
      <c r="C24" s="37" t="n">
        <v>5</v>
      </c>
    </row>
    <row r="25" ht="15" customHeight="1" s="12">
      <c r="B25" s="13" t="inlineStr">
        <is>
          <t>IRR (Internal Rate of Return)</t>
        </is>
      </c>
      <c r="C25" s="72">
        <f>IRR(C29:H29)</f>
        <v>0.265643548200267</v>
      </c>
    </row>
    <row r="26" s="12"/>
    <row r="27" ht="18" customHeight="1" s="12">
      <c r="B27" s="9" t="inlineStr">
        <is>
          <t>Sponsor Cash Flow (for IRR calculation)</t>
        </is>
      </c>
    </row>
    <row r="28" ht="15" customHeight="1" s="12">
      <c r="B28" s="13" t="inlineStr">
        <is>
          <t>Year</t>
        </is>
      </c>
      <c r="C28" s="19" t="inlineStr">
        <is>
          <t>Year 0 (Close)</t>
        </is>
      </c>
      <c r="D28" s="19" t="inlineStr">
        <is>
          <t>Year 1</t>
        </is>
      </c>
      <c r="E28" s="19" t="inlineStr">
        <is>
          <t>Year 2</t>
        </is>
      </c>
      <c r="F28" s="19" t="inlineStr">
        <is>
          <t>Year 3</t>
        </is>
      </c>
      <c r="G28" s="19" t="inlineStr">
        <is>
          <t>Year 4</t>
        </is>
      </c>
      <c r="H28" s="19" t="inlineStr">
        <is>
          <t>Year 5 (Exit)</t>
        </is>
      </c>
    </row>
    <row r="29" ht="15" customHeight="1" s="12">
      <c r="B29" s="16" t="inlineStr">
        <is>
          <t>Sponsor Cash Flow ($M)</t>
        </is>
      </c>
      <c r="C29" s="30">
        <f>-C6</f>
        <v>-3.66</v>
      </c>
      <c r="D29" s="30" t="n">
        <v>0</v>
      </c>
      <c r="E29" s="30" t="n">
        <v>0</v>
      </c>
      <c r="F29" s="30" t="n">
        <v>0</v>
      </c>
      <c r="G29" s="30" t="n">
        <v>0</v>
      </c>
      <c r="H29" s="30">
        <f>C21</f>
        <v>11.8860658882774</v>
      </c>
    </row>
    <row r="30" s="12"/>
    <row r="31" ht="27.75" customHeight="1" s="12">
      <c r="B31" s="7" t="n"/>
    </row>
  </sheetData>
  <mergeCells count="7">
    <mergeCell ref="B27:H27"/>
    <mergeCell ref="B2:H2"/>
    <mergeCell ref="B5:E5"/>
    <mergeCell ref="B19:E19"/>
    <mergeCell ref="B3:H3"/>
    <mergeCell ref="B10:E10"/>
    <mergeCell ref="B31:H31"/>
  </mergeCells>
  <pageMargins left="0.3" right="0.3" top="0.4" bottom="0.4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2026-08-05T05:13:28Z</dcterms:created>
  <dcterms:modified xmlns:dcterms="http://purl.org/dc/terms/" xmlns:xsi="http://www.w3.org/2001/XMLSchema-instance" xsi:type="dcterms:W3CDTF">2026-10-26T02:23:04Z</dcterms:modified>
  <cp:revision>0</cp:revision>
</cp:coreProperties>
</file>