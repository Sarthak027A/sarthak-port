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31"/>
  <workbookPr/>
  <xr:revisionPtr revIDLastSave="0" documentId="8_{8FE06411-AFE7-4EED-B24E-7CB30D459F96}" xr6:coauthVersionLast="47" xr6:coauthVersionMax="47" xr10:uidLastSave="{00000000-0000-0000-0000-000000000000}"/>
  <bookViews>
    <workbookView xWindow="0" yWindow="0" windowWidth="16384" windowHeight="8192" tabRatio="500" activeTab="0" xr2:uid="{00000000-000D-0000-FFFF-FFFF00000000}"/>
  </bookViews>
  <sheets>
    <sheet name="Cover" sheetId="1" r:id="rId1"/>
    <sheet name="Assumptions" sheetId="2" r:id="rId2"/>
    <sheet name="Income Statement" sheetId="3" r:id="rId3"/>
    <sheet name="Balance Sheet" sheetId="4" r:id="rId4"/>
    <sheet name="Cash Flow &amp; Debt Schedule" sheetId="5" r:id="rId5"/>
    <sheet name="Valuation" sheetId="6" r:id="rId6"/>
    <sheet name="Sources &amp; Uses" sheetId="7" r:id="rId7"/>
    <sheet name="Advisor Fee" sheetId="8" r:id="rId8"/>
    <sheet name="Sensitivity" sheetId="9" r:id="rId9"/>
    <sheet name="Returns Analysis" sheetId="10" r:id="rId10"/>
  </sheets>
  <definedNames>
    <definedName name="_xlnm.Print_Area" localSheetId="7">'Advisor Fee'!$A$1:$H$24</definedName>
    <definedName name="_xlnm.Print_Area" localSheetId="1">Assumptions!$A$1:$G$93</definedName>
    <definedName name="_xlnm.Print_Area" localSheetId="3">'Balance Sheet'!$A$1:$H$32</definedName>
    <definedName name="_xlnm.Print_Area" localSheetId="4">'Cash Flow &amp; Debt Schedule'!$A$1:$H$40</definedName>
    <definedName name="_xlnm.Print_Area" localSheetId="0">Cover!$A$1:$H$37</definedName>
    <definedName name="_xlnm.Print_Area" localSheetId="2">'Income Statement'!$A$1:$L$22</definedName>
    <definedName name="_xlnm.Print_Area" localSheetId="9">'Returns Analysis'!$A$1:$I$32</definedName>
    <definedName name="_xlnm.Print_Area" localSheetId="8">Sensitivity!$A$1:$P$25</definedName>
    <definedName name="_xlnm.Print_Area" localSheetId="6">'Sources &amp; Uses'!$A$1:$G$28</definedName>
    <definedName name="_xlnm.Print_Area" localSheetId="5">Valuation!$A$1:$G$25</definedName>
  </definedNames>
  <calcPr calcId="191028" iterateDelta="1E-4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8" l="1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C20" i="6"/>
  <c r="C34" i="5"/>
  <c r="C7" i="4"/>
  <c r="G10" i="3"/>
  <c r="F10" i="3"/>
  <c r="E10" i="3"/>
  <c r="D10" i="3"/>
  <c r="C10" i="3"/>
  <c r="L8" i="3"/>
  <c r="K8" i="3"/>
  <c r="J8" i="3"/>
  <c r="I8" i="3"/>
  <c r="H8" i="3"/>
  <c r="G8" i="3"/>
  <c r="F8" i="3"/>
  <c r="E8" i="3"/>
  <c r="D8" i="3"/>
  <c r="C8" i="3"/>
  <c r="G6" i="3"/>
  <c r="F6" i="3"/>
  <c r="E6" i="3"/>
  <c r="D6" i="3"/>
  <c r="C6" i="3"/>
  <c r="C53" i="2"/>
  <c r="C15" i="6" s="1"/>
  <c r="C52" i="2"/>
  <c r="C13" i="6" s="1"/>
  <c r="C46" i="2"/>
  <c r="C36" i="2"/>
  <c r="F35" i="2"/>
  <c r="D35" i="2"/>
  <c r="F34" i="2"/>
  <c r="D34" i="2"/>
  <c r="F33" i="2"/>
  <c r="D33" i="2"/>
  <c r="F32" i="2"/>
  <c r="D32" i="2"/>
  <c r="F31" i="2"/>
  <c r="C25" i="2"/>
  <c r="C57" i="2" s="1"/>
  <c r="C14" i="7" s="1"/>
  <c r="C24" i="2"/>
  <c r="C51" i="2" s="1"/>
  <c r="C23" i="2"/>
  <c r="C22" i="2"/>
  <c r="C12" i="10" l="1"/>
  <c r="C8" i="10"/>
  <c r="C7" i="6"/>
  <c r="C14" i="6" s="1"/>
  <c r="C23" i="7"/>
  <c r="C7" i="5"/>
  <c r="C16" i="4"/>
  <c r="C15" i="9"/>
  <c r="D15" i="9" s="1"/>
  <c r="C14" i="9"/>
  <c r="D14" i="9" s="1"/>
  <c r="C13" i="9"/>
  <c r="D13" i="9" s="1"/>
  <c r="C12" i="9"/>
  <c r="D12" i="9" s="1"/>
  <c r="C11" i="9"/>
  <c r="D11" i="9" s="1"/>
  <c r="C10" i="9"/>
  <c r="D10" i="9" s="1"/>
  <c r="C9" i="9"/>
  <c r="D9" i="9" s="1"/>
  <c r="C8" i="9"/>
  <c r="D8" i="9" s="1"/>
  <c r="C7" i="9"/>
  <c r="D7" i="9" s="1"/>
  <c r="D15" i="6"/>
  <c r="D13" i="6"/>
  <c r="C6" i="6"/>
  <c r="C8" i="6" s="1"/>
  <c r="C47" i="2"/>
  <c r="C13" i="3"/>
  <c r="C11" i="3"/>
  <c r="C14" i="3" s="1"/>
  <c r="C9" i="3"/>
  <c r="C12" i="3" s="1"/>
  <c r="D13" i="3"/>
  <c r="D11" i="3"/>
  <c r="D14" i="3" s="1"/>
  <c r="D9" i="3"/>
  <c r="D12" i="3" s="1"/>
  <c r="D7" i="3"/>
  <c r="E13" i="3"/>
  <c r="E11" i="3"/>
  <c r="E14" i="3" s="1"/>
  <c r="E9" i="3"/>
  <c r="E12" i="3" s="1"/>
  <c r="E7" i="3"/>
  <c r="F13" i="3"/>
  <c r="F11" i="3"/>
  <c r="F14" i="3" s="1"/>
  <c r="F9" i="3"/>
  <c r="F12" i="3" s="1"/>
  <c r="F7" i="3"/>
  <c r="C10" i="4"/>
  <c r="C8" i="4"/>
  <c r="G13" i="3"/>
  <c r="G11" i="3"/>
  <c r="G14" i="3" s="1"/>
  <c r="G9" i="3"/>
  <c r="G7" i="3"/>
  <c r="H6" i="3"/>
  <c r="H10" i="3"/>
  <c r="I10" i="3" s="1"/>
  <c r="J10" i="3" s="1"/>
  <c r="K10" i="3" s="1"/>
  <c r="L10" i="3" s="1"/>
  <c r="C27" i="5" l="1"/>
  <c r="C28" i="5" s="1"/>
  <c r="D8" i="4"/>
  <c r="C22" i="5" s="1"/>
  <c r="H13" i="3"/>
  <c r="C21" i="5" s="1"/>
  <c r="H11" i="3"/>
  <c r="H14" i="3" s="1"/>
  <c r="H9" i="3"/>
  <c r="H7" i="3"/>
  <c r="I6" i="3"/>
  <c r="G12" i="3"/>
  <c r="C15" i="4"/>
  <c r="C9" i="4"/>
  <c r="D10" i="4"/>
  <c r="C5" i="8"/>
  <c r="C7" i="7"/>
  <c r="C19" i="6"/>
  <c r="C21" i="6" s="1"/>
  <c r="D14" i="6"/>
  <c r="C9" i="6"/>
  <c r="D20" i="9"/>
  <c r="N7" i="9"/>
  <c r="M7" i="9"/>
  <c r="L7" i="9"/>
  <c r="K7" i="9"/>
  <c r="J7" i="9"/>
  <c r="O7" i="9" s="1"/>
  <c r="P7" i="9" s="1"/>
  <c r="E7" i="9" s="1"/>
  <c r="G7" i="9"/>
  <c r="N8" i="9"/>
  <c r="M8" i="9"/>
  <c r="L8" i="9"/>
  <c r="K8" i="9"/>
  <c r="J8" i="9"/>
  <c r="O8" i="9" s="1"/>
  <c r="P8" i="9" s="1"/>
  <c r="E8" i="9" s="1"/>
  <c r="F8" i="9" s="1"/>
  <c r="G8" i="9"/>
  <c r="N9" i="9"/>
  <c r="M9" i="9"/>
  <c r="L9" i="9"/>
  <c r="K9" i="9"/>
  <c r="J9" i="9"/>
  <c r="O9" i="9" s="1"/>
  <c r="P9" i="9" s="1"/>
  <c r="E9" i="9" s="1"/>
  <c r="F9" i="9" s="1"/>
  <c r="G9" i="9"/>
  <c r="N10" i="9"/>
  <c r="M10" i="9"/>
  <c r="L10" i="9"/>
  <c r="K10" i="9"/>
  <c r="J10" i="9"/>
  <c r="O10" i="9" s="1"/>
  <c r="P10" i="9" s="1"/>
  <c r="E10" i="9" s="1"/>
  <c r="F10" i="9" s="1"/>
  <c r="G10" i="9"/>
  <c r="N11" i="9"/>
  <c r="M11" i="9"/>
  <c r="L11" i="9"/>
  <c r="K11" i="9"/>
  <c r="J11" i="9"/>
  <c r="O11" i="9" s="1"/>
  <c r="P11" i="9" s="1"/>
  <c r="E11" i="9" s="1"/>
  <c r="F11" i="9" s="1"/>
  <c r="G11" i="9"/>
  <c r="N12" i="9"/>
  <c r="M12" i="9"/>
  <c r="L12" i="9"/>
  <c r="K12" i="9"/>
  <c r="J12" i="9"/>
  <c r="O12" i="9" s="1"/>
  <c r="P12" i="9" s="1"/>
  <c r="E12" i="9" s="1"/>
  <c r="F12" i="9" s="1"/>
  <c r="G12" i="9"/>
  <c r="N13" i="9"/>
  <c r="M13" i="9"/>
  <c r="L13" i="9"/>
  <c r="K13" i="9"/>
  <c r="J13" i="9"/>
  <c r="O13" i="9" s="1"/>
  <c r="P13" i="9" s="1"/>
  <c r="E13" i="9" s="1"/>
  <c r="F13" i="9" s="1"/>
  <c r="G13" i="9"/>
  <c r="N14" i="9"/>
  <c r="M14" i="9"/>
  <c r="L14" i="9"/>
  <c r="K14" i="9"/>
  <c r="J14" i="9"/>
  <c r="O14" i="9" s="1"/>
  <c r="P14" i="9" s="1"/>
  <c r="E14" i="9" s="1"/>
  <c r="F14" i="9" s="1"/>
  <c r="G14" i="9"/>
  <c r="D21" i="9"/>
  <c r="N15" i="9"/>
  <c r="M15" i="9"/>
  <c r="L15" i="9"/>
  <c r="K15" i="9"/>
  <c r="J15" i="9"/>
  <c r="O15" i="9" s="1"/>
  <c r="P15" i="9" s="1"/>
  <c r="E15" i="9" s="1"/>
  <c r="G15" i="9"/>
  <c r="C9" i="5"/>
  <c r="C8" i="5"/>
  <c r="C30" i="5" l="1"/>
  <c r="C31" i="5" s="1"/>
  <c r="C10" i="5"/>
  <c r="D23" i="9"/>
  <c r="F15" i="9"/>
  <c r="D22" i="9"/>
  <c r="F7" i="9"/>
  <c r="C16" i="7"/>
  <c r="C15" i="7"/>
  <c r="C9" i="7"/>
  <c r="F13" i="8"/>
  <c r="G13" i="8" s="1"/>
  <c r="F12" i="8"/>
  <c r="G12" i="8" s="1"/>
  <c r="F11" i="8"/>
  <c r="G11" i="8" s="1"/>
  <c r="F10" i="8"/>
  <c r="G10" i="8" s="1"/>
  <c r="F9" i="8"/>
  <c r="D27" i="5"/>
  <c r="E8" i="4"/>
  <c r="D22" i="5" s="1"/>
  <c r="I13" i="3"/>
  <c r="D21" i="5" s="1"/>
  <c r="I11" i="3"/>
  <c r="I14" i="3" s="1"/>
  <c r="I9" i="3"/>
  <c r="I7" i="3"/>
  <c r="J6" i="3"/>
  <c r="H12" i="3"/>
  <c r="D15" i="4"/>
  <c r="D9" i="4"/>
  <c r="C23" i="5" s="1"/>
  <c r="C24" i="5" l="1"/>
  <c r="E27" i="5"/>
  <c r="E28" i="5" s="1"/>
  <c r="F8" i="4"/>
  <c r="E22" i="5" s="1"/>
  <c r="J13" i="3"/>
  <c r="E21" i="5" s="1"/>
  <c r="J11" i="3"/>
  <c r="J14" i="3" s="1"/>
  <c r="J9" i="3"/>
  <c r="J7" i="3"/>
  <c r="K6" i="3"/>
  <c r="I12" i="3"/>
  <c r="E15" i="4"/>
  <c r="E9" i="4"/>
  <c r="D23" i="5" s="1"/>
  <c r="D28" i="5"/>
  <c r="E10" i="4"/>
  <c r="F10" i="4" s="1"/>
  <c r="F14" i="8"/>
  <c r="G9" i="8"/>
  <c r="G14" i="8" s="1"/>
  <c r="C18" i="8" s="1"/>
  <c r="C25" i="7"/>
  <c r="C13" i="5"/>
  <c r="C17" i="4"/>
  <c r="C18" i="4" s="1"/>
  <c r="C7" i="10"/>
  <c r="H22" i="4"/>
  <c r="G22" i="4"/>
  <c r="F22" i="4"/>
  <c r="E22" i="4"/>
  <c r="D22" i="4"/>
  <c r="C22" i="4"/>
  <c r="D7" i="5"/>
  <c r="D16" i="4"/>
  <c r="D9" i="5" l="1"/>
  <c r="D8" i="5"/>
  <c r="C15" i="5"/>
  <c r="C14" i="5"/>
  <c r="C17" i="5" s="1"/>
  <c r="H15" i="3" s="1"/>
  <c r="H16" i="3" s="1"/>
  <c r="C20" i="8"/>
  <c r="C19" i="8"/>
  <c r="C8" i="7"/>
  <c r="D24" i="5"/>
  <c r="F27" i="5"/>
  <c r="G8" i="4"/>
  <c r="F22" i="5" s="1"/>
  <c r="K13" i="3"/>
  <c r="F21" i="5" s="1"/>
  <c r="K11" i="3"/>
  <c r="K14" i="3" s="1"/>
  <c r="K9" i="3"/>
  <c r="K7" i="3"/>
  <c r="L6" i="3"/>
  <c r="J12" i="3"/>
  <c r="F15" i="4"/>
  <c r="F9" i="4"/>
  <c r="E23" i="5" s="1"/>
  <c r="E24" i="5" l="1"/>
  <c r="G27" i="5"/>
  <c r="G28" i="5" s="1"/>
  <c r="H8" i="4"/>
  <c r="G22" i="5" s="1"/>
  <c r="L13" i="3"/>
  <c r="G21" i="5" s="1"/>
  <c r="L11" i="3"/>
  <c r="L9" i="3"/>
  <c r="L7" i="3"/>
  <c r="K12" i="3"/>
  <c r="G15" i="4"/>
  <c r="G9" i="4"/>
  <c r="F23" i="5" s="1"/>
  <c r="F28" i="5"/>
  <c r="G10" i="4"/>
  <c r="H10" i="4" s="1"/>
  <c r="C10" i="7"/>
  <c r="H17" i="3"/>
  <c r="H18" i="3" s="1"/>
  <c r="D13" i="5"/>
  <c r="D17" i="4"/>
  <c r="D18" i="4" s="1"/>
  <c r="D30" i="5"/>
  <c r="D31" i="5" s="1"/>
  <c r="D10" i="5"/>
  <c r="E7" i="5" l="1"/>
  <c r="E16" i="4"/>
  <c r="D15" i="5"/>
  <c r="D14" i="5"/>
  <c r="D17" i="5" s="1"/>
  <c r="I15" i="3" s="1"/>
  <c r="I16" i="3" s="1"/>
  <c r="C20" i="5"/>
  <c r="C25" i="5" s="1"/>
  <c r="C33" i="5" s="1"/>
  <c r="C35" i="5" s="1"/>
  <c r="D23" i="4"/>
  <c r="C17" i="7"/>
  <c r="D7" i="7"/>
  <c r="C11" i="4"/>
  <c r="D9" i="7"/>
  <c r="D8" i="7"/>
  <c r="F24" i="5"/>
  <c r="L12" i="3"/>
  <c r="H15" i="4"/>
  <c r="H9" i="4"/>
  <c r="G23" i="5" s="1"/>
  <c r="C11" i="10"/>
  <c r="C13" i="10" s="1"/>
  <c r="L14" i="3"/>
  <c r="G24" i="5" l="1"/>
  <c r="D11" i="4"/>
  <c r="E11" i="4" s="1"/>
  <c r="F11" i="4" s="1"/>
  <c r="G11" i="4" s="1"/>
  <c r="H11" i="4" s="1"/>
  <c r="C12" i="4"/>
  <c r="C6" i="10"/>
  <c r="H21" i="4"/>
  <c r="G21" i="4"/>
  <c r="F21" i="4"/>
  <c r="E21" i="4"/>
  <c r="D21" i="4"/>
  <c r="D24" i="4" s="1"/>
  <c r="D26" i="4" s="1"/>
  <c r="C21" i="4"/>
  <c r="C24" i="4" s="1"/>
  <c r="C26" i="4" s="1"/>
  <c r="C18" i="7"/>
  <c r="D34" i="5"/>
  <c r="D7" i="4"/>
  <c r="D12" i="4" s="1"/>
  <c r="D27" i="4" s="1"/>
  <c r="I17" i="3"/>
  <c r="I18" i="3" s="1"/>
  <c r="E13" i="5"/>
  <c r="E17" i="4"/>
  <c r="E18" i="4"/>
  <c r="E9" i="5"/>
  <c r="E8" i="5"/>
  <c r="E30" i="5" l="1"/>
  <c r="E31" i="5" s="1"/>
  <c r="E10" i="5"/>
  <c r="E15" i="5"/>
  <c r="E14" i="5"/>
  <c r="E17" i="5" s="1"/>
  <c r="J15" i="3" s="1"/>
  <c r="J16" i="3" s="1"/>
  <c r="D20" i="5"/>
  <c r="D25" i="5" s="1"/>
  <c r="D33" i="5" s="1"/>
  <c r="E23" i="4"/>
  <c r="D35" i="5"/>
  <c r="C20" i="7"/>
  <c r="D14" i="7"/>
  <c r="D15" i="7"/>
  <c r="D16" i="7"/>
  <c r="C24" i="7"/>
  <c r="D17" i="7"/>
  <c r="E24" i="4"/>
  <c r="E26" i="4" s="1"/>
  <c r="C28" i="10"/>
  <c r="C19" i="10"/>
  <c r="C27" i="4"/>
  <c r="E34" i="5" l="1"/>
  <c r="E7" i="4"/>
  <c r="E12" i="4" s="1"/>
  <c r="E27" i="4" s="1"/>
  <c r="J17" i="3"/>
  <c r="J18" i="3" s="1"/>
  <c r="F13" i="5"/>
  <c r="F17" i="4"/>
  <c r="F7" i="5"/>
  <c r="F16" i="4"/>
  <c r="F18" i="4" s="1"/>
  <c r="F9" i="5" l="1"/>
  <c r="F8" i="5"/>
  <c r="F15" i="5"/>
  <c r="F14" i="5"/>
  <c r="E20" i="5"/>
  <c r="E25" i="5" s="1"/>
  <c r="E33" i="5" s="1"/>
  <c r="F23" i="4"/>
  <c r="E35" i="5"/>
  <c r="F34" i="5" l="1"/>
  <c r="F7" i="4"/>
  <c r="F12" i="4" s="1"/>
  <c r="F24" i="4"/>
  <c r="F26" i="4" s="1"/>
  <c r="G13" i="5"/>
  <c r="G17" i="4"/>
  <c r="F30" i="5"/>
  <c r="F31" i="5" s="1"/>
  <c r="F10" i="5"/>
  <c r="F17" i="5"/>
  <c r="K15" i="3" s="1"/>
  <c r="K16" i="3" s="1"/>
  <c r="K17" i="3" l="1"/>
  <c r="K18" i="3" s="1"/>
  <c r="G7" i="5"/>
  <c r="G16" i="4"/>
  <c r="G18" i="4" s="1"/>
  <c r="G15" i="5"/>
  <c r="G14" i="5"/>
  <c r="F27" i="4"/>
  <c r="C15" i="10" l="1"/>
  <c r="H17" i="4"/>
  <c r="G9" i="5"/>
  <c r="G17" i="5" s="1"/>
  <c r="L15" i="3" s="1"/>
  <c r="L16" i="3" s="1"/>
  <c r="G8" i="5"/>
  <c r="F20" i="5"/>
  <c r="F25" i="5" s="1"/>
  <c r="F33" i="5" s="1"/>
  <c r="F35" i="5" s="1"/>
  <c r="G23" i="4"/>
  <c r="G24" i="4" l="1"/>
  <c r="G26" i="4" s="1"/>
  <c r="G34" i="5"/>
  <c r="G7" i="4"/>
  <c r="G12" i="4" s="1"/>
  <c r="G27" i="4" s="1"/>
  <c r="G30" i="5"/>
  <c r="G31" i="5" s="1"/>
  <c r="G10" i="5"/>
  <c r="L17" i="3"/>
  <c r="L18" i="3" s="1"/>
  <c r="G20" i="5" l="1"/>
  <c r="G25" i="5" s="1"/>
  <c r="G33" i="5" s="1"/>
  <c r="H23" i="4"/>
  <c r="H24" i="4" s="1"/>
  <c r="C14" i="10"/>
  <c r="C16" i="10" s="1"/>
  <c r="C20" i="10" s="1"/>
  <c r="H16" i="4"/>
  <c r="H18" i="4" s="1"/>
  <c r="H26" i="4" s="1"/>
  <c r="G35" i="5"/>
  <c r="H7" i="4" s="1"/>
  <c r="H12" i="4" s="1"/>
  <c r="H27" i="4" s="1"/>
  <c r="H28" i="10" l="1"/>
  <c r="C24" i="10" s="1"/>
  <c r="C2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3" authorId="0" shapeId="0" xr:uid="{00000000-0006-0000-0100-000001000000}">
      <text>
        <r>
          <rPr>
            <sz val="10"/>
            <rFont val="Arial"/>
            <family val="2"/>
          </rPr>
          <t>Dropdown: choose Low Case, Base Case, or High Case. This single switch drives revenue growth, EBITDA margin expansion, the EV/EBITDA multiple, and senior debt leverage across every tab in the model.</t>
        </r>
      </text>
    </comment>
    <comment ref="C65" authorId="0" shapeId="0" xr:uid="{00000000-0006-0000-0100-000002000000}">
      <text>
        <r>
          <rPr>
            <sz val="10"/>
            <rFont val="Arial"/>
            <family val="2"/>
          </rPr>
          <t>Grounded in CIM disclosure: maintenance capex averages ~$180K/yr outside the 2023-2024 automation cycle ($0.18M / $9.4M 2025E revenue ≈ 1.9% of revenue, rounded to 2.0%). Section XXI (Historical CapEx Schedule).</t>
        </r>
      </text>
    </comment>
  </commentList>
</comments>
</file>

<file path=xl/sharedStrings.xml><?xml version="1.0" encoding="utf-8"?>
<sst xmlns="http://schemas.openxmlformats.org/spreadsheetml/2006/main" count="348" uniqueCount="287">
  <si>
    <t>PROJECT IRONBEND</t>
  </si>
  <si>
    <t>Northline Precision Pipe Bending &amp; Fabrication Ltd. — Sell-Side Valuation &amp; Deal Economics Model</t>
  </si>
  <si>
    <t>Strictly Private &amp; Confidential</t>
  </si>
  <si>
    <t>CONTENTS</t>
  </si>
  <si>
    <t>1.  Assumptions</t>
  </si>
  <si>
    <t>Scenario switch, historical financials, EBITDA normalization, operating &amp; financing assumptions</t>
  </si>
  <si>
    <t>2.  Income Statement</t>
  </si>
  <si>
    <t>Historical (2021-2025E) and 5-year projected P&amp;L (2026E-2030E), scenario-driven</t>
  </si>
  <si>
    <t>3.  Balance Sheet</t>
  </si>
  <si>
    <t>Post-close opening balance sheet and 5-year projection</t>
  </si>
  <si>
    <t>4.  Cash Flow &amp; Debt Schedule</t>
  </si>
  <si>
    <t>Senior debt &amp; seller note amortization, and the resulting cash flow statement</t>
  </si>
  <si>
    <t>5.  Valuation</t>
  </si>
  <si>
    <t>Adjusted EBITDA build-through to Enterprise Value and Equity Value at the active multiple</t>
  </si>
  <si>
    <t>6.  Sources &amp; Uses</t>
  </si>
  <si>
    <t>Transaction funding structure — senior debt, seller note, equity rollover, sponsor equity</t>
  </si>
  <si>
    <t>7.  Advisor Fee</t>
  </si>
  <si>
    <t>Modified Lehman tiered success-fee calculation on transaction value</t>
  </si>
  <si>
    <t>8.  Sensitivity</t>
  </si>
  <si>
    <t>EV/EBITDA multiple sensitivity across Enterprise Value and advisor fee</t>
  </si>
  <si>
    <t>9.  Returns Analysis</t>
  </si>
  <si>
    <t>Illustrative 5-year sponsor MOIC / IRR at the active case</t>
  </si>
  <si>
    <t>DEAL SNAPSHOT (per CIM)</t>
  </si>
  <si>
    <t>2025E Revenue</t>
  </si>
  <si>
    <t>$9.4M CAD</t>
  </si>
  <si>
    <t>2025E EBITDA Margin (disclosed)</t>
  </si>
  <si>
    <t>22.3%</t>
  </si>
  <si>
    <t>Operating History</t>
  </si>
  <si>
    <t>31 years</t>
  </si>
  <si>
    <t>CIM Indicative EV Range</t>
  </si>
  <si>
    <t>$9.0M – $13.0M CAD (4.5x – 6.5x Adj. EBITDA)</t>
  </si>
  <si>
    <t>All figures in CAD $ millions unless otherwise labeled. Projected financial statements (2026E-2030E) are illustrative, built on assumptions not disclosed in the CIM (flagged throughout), for discussion purposes only. Not a substitute for confirmatory diligence or a formal quality-of-earnings report.</t>
  </si>
  <si>
    <t>STRICTLY CONFIDENTIAL</t>
  </si>
  <si>
    <t>KEY ASSUMPTIONS &amp; INPUTS</t>
  </si>
  <si>
    <t>Transaction Overview</t>
  </si>
  <si>
    <t>Target Company</t>
  </si>
  <si>
    <t>Northline Precision Pipe Bending &amp; Fabrication Ltd. ('Project Ironbend')</t>
  </si>
  <si>
    <t>Industry</t>
  </si>
  <si>
    <t>ASME 'U'-Stamp &amp; National Board Certified Pipe Bending / Pressure Vessel Fabrication</t>
  </si>
  <si>
    <t>Location</t>
  </si>
  <si>
    <t>Edmonton, Alberta, Canada</t>
  </si>
  <si>
    <t>Reporting Currency / Units</t>
  </si>
  <si>
    <t>CAD $ in millions, unless otherwise noted</t>
  </si>
  <si>
    <t>Assumed Transaction Structure</t>
  </si>
  <si>
    <t>Cash-Free, Debt-Free (CFDF) at close</t>
  </si>
  <si>
    <t>Assumed Close / Projection Start</t>
  </si>
  <si>
    <t>2025E year-end; Post-Close Years 1-5 = 2026E-2030E</t>
  </si>
  <si>
    <t>Customer Concentration (per CIM, Section XII)</t>
  </si>
  <si>
    <t>Top 5 customers ~59% of revenue; no single customer exceeds ~18%</t>
  </si>
  <si>
    <t>SCENARIO CASE SWITCH  —  Drives Growth, Margin, Multiple &amp; Leverage Throughout the Model</t>
  </si>
  <si>
    <t>Selected Scenario</t>
  </si>
  <si>
    <t>High Case</t>
  </si>
  <si>
    <t>Scenario Driver</t>
  </si>
  <si>
    <t>Low Case</t>
  </si>
  <si>
    <t>Base Case</t>
  </si>
  <si>
    <t>Revenue Growth (2026E-2030E, p.a.)</t>
  </si>
  <si>
    <t>EBITDA Margin Expansion (bps / year)</t>
  </si>
  <si>
    <t>EV / EBITDA Multiple (Entry &amp; Exit)</t>
  </si>
  <si>
    <t>Senior Debt Leverage (x Adj. EBITDA)</t>
  </si>
  <si>
    <t>Active Case Drivers  (auto-selected from Selected Scenario above)</t>
  </si>
  <si>
    <t>Revenue Growth (Active)</t>
  </si>
  <si>
    <t>EBITDA Margin Expansion (Active, bps/yr)</t>
  </si>
  <si>
    <t>EV / EBITDA Multiple (Active)</t>
  </si>
  <si>
    <t>Senior Debt Leverage (Active)</t>
  </si>
  <si>
    <t>Change 'Selected Scenario' above (dropdown) to Low Case / Base Case / High Case and every downstream tab — Income Statement, Balance Sheet, Cash Flow, Valuation, Sources &amp; Uses, Advisor Fee, and Returns — recalculates automatically.</t>
  </si>
  <si>
    <t>Historical Financials  (per CIM, p.9)</t>
  </si>
  <si>
    <t>Fiscal Year</t>
  </si>
  <si>
    <t>Revenue ($M)</t>
  </si>
  <si>
    <t>YoY Growth</t>
  </si>
  <si>
    <t>EBITDA Margin (%)</t>
  </si>
  <si>
    <t>Implied EBITDA ($M)</t>
  </si>
  <si>
    <t>2021</t>
  </si>
  <si>
    <t>2022</t>
  </si>
  <si>
    <t>2023</t>
  </si>
  <si>
    <t>2024</t>
  </si>
  <si>
    <t>2025E</t>
  </si>
  <si>
    <t>Revenue CAGR (2021 – 2025E)</t>
  </si>
  <si>
    <t>EBITDA Normalization (2025E)  —  per CIM p.10, management-indicated, preliminary</t>
  </si>
  <si>
    <t>Line Item</t>
  </si>
  <si>
    <t>$M CAD</t>
  </si>
  <si>
    <t>Reported EBITDA (2025E)</t>
  </si>
  <si>
    <t>(+) Owner Compensation Add-Back</t>
  </si>
  <si>
    <t>(+) Non-Recurring Legal / Advisory Costs</t>
  </si>
  <si>
    <t>(+) One-Time Equipment Relocation</t>
  </si>
  <si>
    <t>(–) Normalized Market-Rate Management Cost</t>
  </si>
  <si>
    <t>Adjusted EBITDA (2025E)</t>
  </si>
  <si>
    <t>Adjusted EBITDA Margin (% of 2025E Revenue)</t>
  </si>
  <si>
    <t>Valuation Assumptions  (linked to Active Case)</t>
  </si>
  <si>
    <t>Selected EV / Adjusted EBITDA Multiple (Active Case)</t>
  </si>
  <si>
    <t>Football Field — Low Multiple (Low Case)</t>
  </si>
  <si>
    <t>Football Field — High Multiple (High Case)</t>
  </si>
  <si>
    <t>Net Debt at Close (CFDF assumption)</t>
  </si>
  <si>
    <t>Sources &amp; Uses Assumptions</t>
  </si>
  <si>
    <t>Senior Debt Leverage (x Adjusted EBITDA, Active Case)</t>
  </si>
  <si>
    <t>Seller Note (% of Enterprise Value)</t>
  </si>
  <si>
    <t>Seller Equity Rollover (% of Enterprise Value)</t>
  </si>
  <si>
    <t>Other Transaction Expenses (% of EV: legal, QoE, accounting)</t>
  </si>
  <si>
    <t>Operating &amp; Balance Sheet Assumptions  (Illustrative — Not Disclosed in CIM)</t>
  </si>
  <si>
    <t>Gross Margin (held constant; per CIM p.2 disclosed gross margin)</t>
  </si>
  <si>
    <t>Depreciation &amp; Amortization (% of Revenue)</t>
  </si>
  <si>
    <t>Capital Expenditures (% of Revenue)</t>
  </si>
  <si>
    <t>Accounts Receivable (% of Revenue, ~DSO proxy)</t>
  </si>
  <si>
    <t>Inventory (% of COGS)</t>
  </si>
  <si>
    <t>Accounts Payable (% of COGS)</t>
  </si>
  <si>
    <t>Net PP&amp;E (% of Revenue, Day-1 estimate)</t>
  </si>
  <si>
    <t>Minimum Cash Balance ($M)</t>
  </si>
  <si>
    <t>Corporate Tax Rate (illustrative, Alberta + Federal blended)</t>
  </si>
  <si>
    <t>Debt Financing Assumptions</t>
  </si>
  <si>
    <t>Senior Debt Interest Rate (per annum)</t>
  </si>
  <si>
    <t>Senior Debt Amortization Term (years, straight-line)</t>
  </si>
  <si>
    <t>Seller Note Interest Rate (interest-only; bullet at exit)</t>
  </si>
  <si>
    <t>Advisor Fee Assumptions — Modified Lehman Formula (Success Fee on Transaction Value)</t>
  </si>
  <si>
    <t>Tier</t>
  </si>
  <si>
    <t>From ($M)</t>
  </si>
  <si>
    <t>To ($M)</t>
  </si>
  <si>
    <t>Fee Rate (%)</t>
  </si>
  <si>
    <t>Tier 1</t>
  </si>
  <si>
    <t>Tier 2</t>
  </si>
  <si>
    <t>Tier 3</t>
  </si>
  <si>
    <t>Tier 4</t>
  </si>
  <si>
    <t>Tier 5 (&gt; $20.0M)</t>
  </si>
  <si>
    <t>Minimum Fee Floor ($M)</t>
  </si>
  <si>
    <t>Advisor fee basis = Enterprise Value (Transaction Value). Modified Lehman scale is calibrated to a 5-7% blended fee range on the CIM's $9-14M indicative EV, consistent with typical lower-middle-market sell-side engagement terms.</t>
  </si>
  <si>
    <t>INCOME STATEMENT</t>
  </si>
  <si>
    <t>Historical (per CIM) &amp; Projected (Illustrative, Post-Close Years 1-5)</t>
  </si>
  <si>
    <t>($M CAD)</t>
  </si>
  <si>
    <t>2026E</t>
  </si>
  <si>
    <t>2027E</t>
  </si>
  <si>
    <t>2028E</t>
  </si>
  <si>
    <t>2029E</t>
  </si>
  <si>
    <t>2030E</t>
  </si>
  <si>
    <t>Revenue</t>
  </si>
  <si>
    <t>Revenue Growth %</t>
  </si>
  <si>
    <t>Gross Margin % (assumption)</t>
  </si>
  <si>
    <t>Gross Profit</t>
  </si>
  <si>
    <t>EBITDA Margin %</t>
  </si>
  <si>
    <t>EBITDA</t>
  </si>
  <si>
    <t>Operating Expenses (SG&amp;A, derived)</t>
  </si>
  <si>
    <t>Depreciation &amp; Amortization</t>
  </si>
  <si>
    <t>EBIT</t>
  </si>
  <si>
    <t>Interest Expense</t>
  </si>
  <si>
    <t>n/a</t>
  </si>
  <si>
    <t>Earnings Before Tax (EBT)</t>
  </si>
  <si>
    <t>Income Taxes</t>
  </si>
  <si>
    <t>Net Income</t>
  </si>
  <si>
    <t>BALANCE SHEET</t>
  </si>
  <si>
    <t>Post-Close Opening Balance Sheet &amp; 5-Year Projection (Illustrative)</t>
  </si>
  <si>
    <t>2025E (Close)</t>
  </si>
  <si>
    <t>Assets</t>
  </si>
  <si>
    <t>Cash</t>
  </si>
  <si>
    <t>Accounts Receivable</t>
  </si>
  <si>
    <t>Inventory</t>
  </si>
  <si>
    <t>Net PP&amp;E</t>
  </si>
  <si>
    <t>Goodwill &amp; Intangible Assets (Purchase Price Allocation, Plug)</t>
  </si>
  <si>
    <t>Total Assets</t>
  </si>
  <si>
    <t>Liabilities</t>
  </si>
  <si>
    <t>Accounts Payable</t>
  </si>
  <si>
    <t>Senior Debt</t>
  </si>
  <si>
    <t>Seller Note</t>
  </si>
  <si>
    <t>Total Liabilities</t>
  </si>
  <si>
    <t>Equity</t>
  </si>
  <si>
    <t>Sponsor / Buyer Equity</t>
  </si>
  <si>
    <t>Seller Equity Rollover</t>
  </si>
  <si>
    <t>Retained Earnings</t>
  </si>
  <si>
    <t>Total Equity</t>
  </si>
  <si>
    <t>Total Liabilities &amp; Equity</t>
  </si>
  <si>
    <t>Balance Check (Assets – Liabilities &amp; Equity)</t>
  </si>
  <si>
    <t>CASH FLOW &amp; DEBT SCHEDULE</t>
  </si>
  <si>
    <t>Post-Close Debt Amortization &amp; Cash Flow, 2026E–2030E (Illustrative)</t>
  </si>
  <si>
    <t>Senior Debt Schedule</t>
  </si>
  <si>
    <t>Beginning Balance</t>
  </si>
  <si>
    <t>Scheduled Amortization</t>
  </si>
  <si>
    <t>Ending Balance</t>
  </si>
  <si>
    <t>Seller Note Schedule (Interest-Only, Bullet at Exit)</t>
  </si>
  <si>
    <t>Interest Expense (Cash)</t>
  </si>
  <si>
    <t>Ending Balance (flat, no amortization)</t>
  </si>
  <si>
    <t>Total Interest Expense (Senior Debt + Seller Note)</t>
  </si>
  <si>
    <t>Cash Flow Statement</t>
  </si>
  <si>
    <t>(+) Depreciation &amp; Amortization</t>
  </si>
  <si>
    <t>(–) Increase in Accounts Receivable</t>
  </si>
  <si>
    <t>(–) Increase in Inventory</t>
  </si>
  <si>
    <t>(+) Increase in Accounts Payable</t>
  </si>
  <si>
    <t>Cash Flow from Operations</t>
  </si>
  <si>
    <t>Capital Expenditures</t>
  </si>
  <si>
    <t>Cash Flow from Investing</t>
  </si>
  <si>
    <t>Senior Debt Repayment</t>
  </si>
  <si>
    <t>Cash Flow from Financing</t>
  </si>
  <si>
    <t>Net Change in Cash</t>
  </si>
  <si>
    <t>Beginning Cash</t>
  </si>
  <si>
    <t>Ending Cash</t>
  </si>
  <si>
    <t>VALUATION</t>
  </si>
  <si>
    <t>Enterprise Value &amp; Equity Value Build (Active Case)</t>
  </si>
  <si>
    <t>Enterprise Value Build</t>
  </si>
  <si>
    <t>Selected EV / EBITDA Multiple (Active Case)</t>
  </si>
  <si>
    <t>Enterprise Value</t>
  </si>
  <si>
    <t>Implied EV / 2025E Revenue</t>
  </si>
  <si>
    <t>Cross-Check vs. CIM Indicative Range (p.16)</t>
  </si>
  <si>
    <t>Scenario</t>
  </si>
  <si>
    <t>Multiple</t>
  </si>
  <si>
    <t>Enterprise Value ($M)</t>
  </si>
  <si>
    <t>Active Case (selected)</t>
  </si>
  <si>
    <t>CIM-Disclosed Indicative Range</t>
  </si>
  <si>
    <t>$9.0M – $13.0M CAD</t>
  </si>
  <si>
    <t>Enterprise Value to Equity Value Bridge</t>
  </si>
  <si>
    <t>(–) Net Debt at Close</t>
  </si>
  <si>
    <t>Equity Value (100%)</t>
  </si>
  <si>
    <t>SOURCES &amp; USES</t>
  </si>
  <si>
    <t>Active Case Transaction Funding Structure</t>
  </si>
  <si>
    <t>Uses of Funds</t>
  </si>
  <si>
    <t>Use</t>
  </si>
  <si>
    <t>$M</t>
  </si>
  <si>
    <t>% of Total</t>
  </si>
  <si>
    <t>Enterprise Value (Purchase Price)</t>
  </si>
  <si>
    <t>Advisor Success Fee</t>
  </si>
  <si>
    <t>Other Transaction Expenses</t>
  </si>
  <si>
    <t>Total Uses</t>
  </si>
  <si>
    <t>Sources of Funds</t>
  </si>
  <si>
    <t>Source</t>
  </si>
  <si>
    <t>Sponsor / Buyer New Equity (Plug)</t>
  </si>
  <si>
    <t>Total Sources</t>
  </si>
  <si>
    <t>Check (Sources – Uses)</t>
  </si>
  <si>
    <t>Capital Structure Ratios</t>
  </si>
  <si>
    <t>Senior Debt / Adjusted EBITDA (Leverage Check)</t>
  </si>
  <si>
    <t>Sponsor Equity / Total Sources</t>
  </si>
  <si>
    <t>Seller Continuing Interest (Note + Rollover) / EV</t>
  </si>
  <si>
    <t>ADVISOR SUCCESS FEE</t>
  </si>
  <si>
    <t>Modified Lehman Formula, Applied to Transaction Value</t>
  </si>
  <si>
    <t>Transaction Value (Basis = Enterprise Value)</t>
  </si>
  <si>
    <t>Modified Lehman Fee Tier Schedule</t>
  </si>
  <si>
    <t>Rate (%)</t>
  </si>
  <si>
    <t>Applicable Base ($M)</t>
  </si>
  <si>
    <t>Tier Fee ($M)</t>
  </si>
  <si>
    <t>Total Tiered Fee</t>
  </si>
  <si>
    <t>Fee Floor Check &amp; Final Fee</t>
  </si>
  <si>
    <t>Minimum Fee Floor</t>
  </si>
  <si>
    <t>Advisor Fee (Greater of Tiered Fee or Minimum Floor)</t>
  </si>
  <si>
    <t>Advisor Fee (% of Transaction Value, Blended/Effective Rate)</t>
  </si>
  <si>
    <t>Advisor Fee ($, actual dollars)</t>
  </si>
  <si>
    <t>SENSITIVITY ANALYSIS</t>
  </si>
  <si>
    <t>EV / EBITDA Multiple  →  Enterprise Value  →  Advisor Fee</t>
  </si>
  <si>
    <t>Sensitivity Table (Adjusted EBITDA held constant at 2025E entry level)</t>
  </si>
  <si>
    <t>Supporting Fee Tier Build (non-array; mirrors Advisor Fee sheet)</t>
  </si>
  <si>
    <t>EV / EBITDA Multiple</t>
  </si>
  <si>
    <t>Adj. EBITDA ($M)</t>
  </si>
  <si>
    <t>Advisor Fee ($M)</t>
  </si>
  <si>
    <t>Advisor Fee (%)</t>
  </si>
  <si>
    <t>Equity Value ($M)</t>
  </si>
  <si>
    <t>Tier 1 Fee</t>
  </si>
  <si>
    <t>Tier 2 Fee</t>
  </si>
  <si>
    <t>Tier 3 Fee</t>
  </si>
  <si>
    <t>Tier 4 Fee</t>
  </si>
  <si>
    <t>Tier 5 Fee</t>
  </si>
  <si>
    <t>Tiered Total</t>
  </si>
  <si>
    <t>Final Fee (w/ floor)</t>
  </si>
  <si>
    <t>Range Summary</t>
  </si>
  <si>
    <t>Low (4.50x) Enterprise Value</t>
  </si>
  <si>
    <t>High (6.50x) Enterprise Value</t>
  </si>
  <si>
    <t>Low (4.50x) Advisor Fee</t>
  </si>
  <si>
    <t>High (6.50x) Advisor Fee</t>
  </si>
  <si>
    <t>RETURNS ANALYSIS</t>
  </si>
  <si>
    <t>Illustrative Buyer (Sponsor) Returns — 5-Year Hold, Active Case</t>
  </si>
  <si>
    <t>Entry (2025E / Close)</t>
  </si>
  <si>
    <t>Sponsor Equity Investment</t>
  </si>
  <si>
    <t>Seller Equity Rollover (Co-Invest)</t>
  </si>
  <si>
    <t>Entry EV / EBITDA Multiple (Active Case)</t>
  </si>
  <si>
    <t>Exit (2030E / Year 5)</t>
  </si>
  <si>
    <t>Exit EBITDA (2030E, Active Case)</t>
  </si>
  <si>
    <t>Exit Multiple (assumed = entry multiple; no expansion/contraction)</t>
  </si>
  <si>
    <t>Exit Enterprise Value</t>
  </si>
  <si>
    <t>(–) Exit Senior Debt Outstanding</t>
  </si>
  <si>
    <t>(–) Exit Seller Note Outstanding</t>
  </si>
  <si>
    <t>Exit Equity Value</t>
  </si>
  <si>
    <t>Sponsor Proceeds &amp; Returns</t>
  </si>
  <si>
    <t>Sponsor Ownership % (of Total Equity at Close)</t>
  </si>
  <si>
    <t>Sponsor Exit Proceeds</t>
  </si>
  <si>
    <t>MOIC (Multiple of Invested Capital)</t>
  </si>
  <si>
    <t>Holding Period (Years)</t>
  </si>
  <si>
    <t>IRR (Internal Rate of Return)</t>
  </si>
  <si>
    <t>Sponsor Cash Flow (for IRR calculation)</t>
  </si>
  <si>
    <t>Year</t>
  </si>
  <si>
    <t>Year 0 (Close)</t>
  </si>
  <si>
    <t>Year 1</t>
  </si>
  <si>
    <t>Year 2</t>
  </si>
  <si>
    <t>Year 3</t>
  </si>
  <si>
    <t>Year 4</t>
  </si>
  <si>
    <t>Year 5 (Exit)</t>
  </si>
  <si>
    <t>Sponsor Cash Flow ($M)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</si>
</sst>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%;\(0.0%\);\-"/>
    <numFmt numFmtId="165" formatCode="#,##0&quot; bps&quot;"/>
    <numFmt numFmtId="166" formatCode="0.00\x"/>
    <numFmt numFmtId="167" formatCode="\$#,##0.00;&quot;($&quot;#,##0.00\);\-"/>
    <numFmt numFmtId="168" formatCode="0&quot; yrs&quot;"/>
    <numFmt numFmtId="169" formatCode="\$#,##0.0;&quot;($&quot;#,##0.0\);\-"/>
    <numFmt numFmtId="170" formatCode="[=9999]&quot;No Cap&quot;;\$#,##0.0"/>
    <numFmt numFmtId="171" formatCode="0.00%;\(0.00%\);\-"/>
    <numFmt numFmtId="172" formatCode="\$#,##0;&quot;($&quot;#,##0\);\-"/>
  </numFmts>
  <fonts count="16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1"/>
      <color rgb="FFFFFFFF"/>
      <name val="Arial"/>
      <charset val="1"/>
    </font>
    <font>
      <b/>
      <sz val="10"/>
      <color rgb="FF000000"/>
      <name val="Arial"/>
      <charset val="1"/>
    </font>
    <font>
      <i/>
      <sz val="8"/>
      <color rgb="FF595959"/>
      <name val="Arial"/>
      <charset val="1"/>
    </font>
    <font>
      <b/>
      <sz val="11"/>
      <color rgb="FFFFFFFF"/>
      <name val="Arial"/>
      <charset val="1"/>
    </font>
    <font>
      <sz val="9"/>
      <color rgb="FF595959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sz val="8"/>
      <color rgb="FF66707D"/>
      <name val="Arial"/>
      <charset val="1"/>
    </font>
    <font>
      <b/>
      <sz val="10"/>
      <color rgb="FF0000FF"/>
      <name val="Arial"/>
      <charset val="1"/>
    </font>
    <font>
      <b/>
      <sz val="9"/>
      <color rgb="FFFFFFFF"/>
      <name val="Arial"/>
      <charset val="1"/>
    </font>
    <font>
      <b/>
      <sz val="10"/>
      <color rgb="FF008000"/>
      <name val="Arial"/>
      <charset val="1"/>
    </font>
    <font>
      <sz val="10"/>
      <name val="Arial"/>
      <family val="2"/>
    </font>
    <font>
      <b/>
      <i/>
      <sz val="8"/>
      <color rgb="FF59595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0C2340"/>
        <bgColor rgb="FF003300"/>
      </patternFill>
    </fill>
    <fill>
      <patternFill patternType="solid">
        <fgColor rgb="FFF4E9D3"/>
        <bgColor rgb="FFF2F2F2"/>
      </patternFill>
    </fill>
    <fill>
      <patternFill patternType="solid">
        <fgColor rgb="FFF2F2F2"/>
        <bgColor rgb="FFF4F6F8"/>
      </patternFill>
    </fill>
    <fill>
      <patternFill patternType="solid">
        <fgColor rgb="FFF4F6F8"/>
        <bgColor rgb="FFF2F2F2"/>
      </patternFill>
    </fill>
    <fill>
      <patternFill patternType="solid">
        <fgColor rgb="FFE6EBF2"/>
        <b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rgb="FFB08D3F"/>
      </bottom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0" borderId="2" xfId="0" applyFont="1" applyBorder="1" applyAlignment="1">
      <alignment horizontal="left" vertical="center"/>
    </xf>
    <xf numFmtId="0" fontId="4" fillId="0" borderId="0" xfId="0" applyFont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/>
    <xf numFmtId="0" fontId="3" fillId="0" borderId="0" xfId="0" applyFont="1" applyAlignment="1">
      <alignment horizontal="left" vertical="center"/>
    </xf>
    <xf numFmtId="0" fontId="7" fillId="0" borderId="0" xfId="0" applyFont="1" applyAlignment="1"/>
    <xf numFmtId="0" fontId="10" fillId="0" borderId="0" xfId="0" applyFont="1" applyAlignment="1">
      <alignment horizontal="right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166" fontId="8" fillId="0" borderId="1" xfId="0" applyNumberFormat="1" applyFont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166" fontId="3" fillId="4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67" fontId="8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67" fontId="7" fillId="0" borderId="1" xfId="0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7" fontId="3" fillId="0" borderId="2" xfId="0" applyNumberFormat="1" applyFont="1" applyBorder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166" fontId="13" fillId="3" borderId="1" xfId="0" applyNumberFormat="1" applyFont="1" applyFill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164" fontId="11" fillId="3" borderId="1" xfId="0" applyNumberFormat="1" applyFont="1" applyFill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169" fontId="8" fillId="0" borderId="1" xfId="0" applyNumberFormat="1" applyFont="1" applyBorder="1" applyAlignment="1">
      <alignment horizontal="right" vertical="center"/>
    </xf>
    <xf numFmtId="170" fontId="8" fillId="0" borderId="1" xfId="0" applyNumberFormat="1" applyFont="1" applyBorder="1" applyAlignment="1">
      <alignment horizontal="right" vertical="center"/>
    </xf>
    <xf numFmtId="167" fontId="11" fillId="3" borderId="1" xfId="0" applyNumberFormat="1" applyFont="1" applyFill="1" applyBorder="1" applyAlignment="1">
      <alignment horizontal="right" vertical="center"/>
    </xf>
    <xf numFmtId="167" fontId="9" fillId="0" borderId="1" xfId="0" applyNumberFormat="1" applyFont="1" applyBorder="1" applyAlignment="1">
      <alignment horizontal="right" vertical="center"/>
    </xf>
    <xf numFmtId="167" fontId="3" fillId="5" borderId="1" xfId="0" applyNumberFormat="1" applyFont="1" applyFill="1" applyBorder="1" applyAlignment="1">
      <alignment horizontal="right" vertical="center"/>
    </xf>
    <xf numFmtId="164" fontId="7" fillId="5" borderId="1" xfId="0" applyNumberFormat="1" applyFont="1" applyFill="1" applyBorder="1" applyAlignment="1">
      <alignment horizontal="right" vertical="center"/>
    </xf>
    <xf numFmtId="164" fontId="9" fillId="0" borderId="1" xfId="0" applyNumberFormat="1" applyFont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167" fontId="3" fillId="0" borderId="1" xfId="0" applyNumberFormat="1" applyFont="1" applyBorder="1" applyAlignment="1">
      <alignment horizontal="right" vertical="center"/>
    </xf>
    <xf numFmtId="167" fontId="3" fillId="5" borderId="2" xfId="0" applyNumberFormat="1" applyFont="1" applyFill="1" applyBorder="1" applyAlignment="1">
      <alignment horizontal="right" vertical="center"/>
    </xf>
    <xf numFmtId="167" fontId="7" fillId="5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7" fontId="9" fillId="5" borderId="1" xfId="0" applyNumberFormat="1" applyFont="1" applyFill="1" applyBorder="1" applyAlignment="1">
      <alignment horizontal="right" vertical="center"/>
    </xf>
    <xf numFmtId="167" fontId="3" fillId="5" borderId="4" xfId="0" applyNumberFormat="1" applyFont="1" applyFill="1" applyBorder="1" applyAlignment="1">
      <alignment horizontal="right" vertical="center"/>
    </xf>
    <xf numFmtId="167" fontId="3" fillId="6" borderId="4" xfId="0" applyNumberFormat="1" applyFont="1" applyFill="1" applyBorder="1" applyAlignment="1">
      <alignment horizontal="right" vertical="center"/>
    </xf>
    <xf numFmtId="167" fontId="3" fillId="6" borderId="2" xfId="0" applyNumberFormat="1" applyFont="1" applyFill="1" applyBorder="1" applyAlignment="1">
      <alignment horizontal="right" vertical="center"/>
    </xf>
    <xf numFmtId="167" fontId="13" fillId="0" borderId="1" xfId="0" applyNumberFormat="1" applyFont="1" applyBorder="1" applyAlignment="1">
      <alignment horizontal="right" vertical="center"/>
    </xf>
    <xf numFmtId="166" fontId="13" fillId="0" borderId="1" xfId="0" applyNumberFormat="1" applyFont="1" applyBorder="1" applyAlignment="1">
      <alignment horizontal="right" vertical="center"/>
    </xf>
    <xf numFmtId="166" fontId="7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166" fontId="3" fillId="3" borderId="1" xfId="0" applyNumberFormat="1" applyFont="1" applyFill="1" applyBorder="1" applyAlignment="1">
      <alignment horizontal="right" vertical="center"/>
    </xf>
    <xf numFmtId="167" fontId="3" fillId="3" borderId="1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7" fontId="13" fillId="6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169" fontId="9" fillId="0" borderId="1" xfId="0" applyNumberFormat="1" applyFont="1" applyBorder="1" applyAlignment="1">
      <alignment horizontal="right" vertical="center"/>
    </xf>
    <xf numFmtId="170" fontId="9" fillId="0" borderId="1" xfId="0" applyNumberFormat="1" applyFont="1" applyBorder="1" applyAlignment="1">
      <alignment horizontal="right" vertical="center"/>
    </xf>
    <xf numFmtId="171" fontId="7" fillId="0" borderId="1" xfId="0" applyNumberFormat="1" applyFont="1" applyBorder="1" applyAlignment="1">
      <alignment horizontal="right" vertical="center"/>
    </xf>
    <xf numFmtId="172" fontId="7" fillId="0" borderId="1" xfId="0" applyNumberFormat="1" applyFont="1" applyBorder="1" applyAlignment="1">
      <alignment horizontal="right" vertical="center"/>
    </xf>
    <xf numFmtId="0" fontId="15" fillId="0" borderId="0" xfId="0" applyFont="1" applyAlignment="1"/>
    <xf numFmtId="166" fontId="8" fillId="3" borderId="1" xfId="0" applyNumberFormat="1" applyFont="1" applyFill="1" applyBorder="1" applyAlignment="1">
      <alignment horizontal="right" vertical="center"/>
    </xf>
    <xf numFmtId="167" fontId="9" fillId="3" borderId="1" xfId="0" applyNumberFormat="1" applyFont="1" applyFill="1" applyBorder="1" applyAlignment="1">
      <alignment horizontal="right" vertical="center"/>
    </xf>
    <xf numFmtId="167" fontId="7" fillId="3" borderId="1" xfId="0" applyNumberFormat="1" applyFont="1" applyFill="1" applyBorder="1" applyAlignment="1">
      <alignment horizontal="right" vertical="center"/>
    </xf>
    <xf numFmtId="171" fontId="7" fillId="3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6F8"/>
      <rgbColor rgb="FFE6EB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4E9D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707D"/>
      <rgbColor rgb="FFB08D3F"/>
      <rgbColor rgb="FF0C2340"/>
      <rgbColor rgb="FF339966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25"/>
  <sheetViews>
    <sheetView tabSelected="1" showGridLines="0" zoomScaleNormal="100" workbookViewId="0">
      <selection activeCell="A1" sqref="A1"/>
    </sheetView>
  </sheetViews>
  <sheetFormatPr defaultColWidth="8.7109375" defaultRowHeight="15"/>
  <cols>
    <col min="1" max="1" width="3" style="12" customWidth="1"/>
    <col min="2" max="2" width="34" style="12" customWidth="1"/>
    <col min="3" max="3" width="20" style="12" customWidth="1"/>
    <col min="4" max="7" width="16" style="12" customWidth="1"/>
    <col min="8" max="8" width="4" style="12" customWidth="1"/>
  </cols>
  <sheetData>
    <row r="2" spans="2:7" ht="25.5" customHeight="1">
      <c r="B2" s="11" t="s">
        <v>0</v>
      </c>
      <c r="C2" s="11"/>
      <c r="D2" s="11"/>
      <c r="E2" s="11"/>
      <c r="F2" s="11"/>
      <c r="G2" s="11"/>
    </row>
    <row r="3" spans="2:7" ht="15.75" customHeight="1">
      <c r="B3" s="10" t="s">
        <v>1</v>
      </c>
      <c r="C3" s="10"/>
      <c r="D3" s="10"/>
      <c r="E3" s="10"/>
      <c r="F3" s="10"/>
      <c r="G3" s="10"/>
    </row>
    <row r="5" spans="2:7" ht="15" customHeight="1">
      <c r="B5" s="13" t="s">
        <v>2</v>
      </c>
    </row>
    <row r="7" spans="2:7" ht="18" customHeight="1">
      <c r="B7" s="9" t="s">
        <v>3</v>
      </c>
      <c r="C7" s="9"/>
      <c r="D7" s="9"/>
      <c r="E7" s="9"/>
    </row>
    <row r="8" spans="2:7" ht="15" customHeight="1">
      <c r="B8" s="15" t="s">
        <v>4</v>
      </c>
      <c r="C8" s="8" t="s">
        <v>5</v>
      </c>
      <c r="D8" s="8"/>
      <c r="E8" s="8"/>
      <c r="F8" s="8"/>
      <c r="G8" s="8"/>
    </row>
    <row r="9" spans="2:7" ht="15" customHeight="1">
      <c r="B9" s="15" t="s">
        <v>6</v>
      </c>
      <c r="C9" s="8" t="s">
        <v>7</v>
      </c>
      <c r="D9" s="8"/>
      <c r="E9" s="8"/>
      <c r="F9" s="8"/>
      <c r="G9" s="8"/>
    </row>
    <row r="10" spans="2:7" ht="15" customHeight="1">
      <c r="B10" s="15" t="s">
        <v>8</v>
      </c>
      <c r="C10" s="8" t="s">
        <v>9</v>
      </c>
      <c r="D10" s="8"/>
      <c r="E10" s="8"/>
      <c r="F10" s="8"/>
      <c r="G10" s="8"/>
    </row>
    <row r="11" spans="2:7" ht="15" customHeight="1">
      <c r="B11" s="15" t="s">
        <v>10</v>
      </c>
      <c r="C11" s="8" t="s">
        <v>11</v>
      </c>
      <c r="D11" s="8"/>
      <c r="E11" s="8"/>
      <c r="F11" s="8"/>
      <c r="G11" s="8"/>
    </row>
    <row r="12" spans="2:7" ht="15" customHeight="1">
      <c r="B12" s="15" t="s">
        <v>12</v>
      </c>
      <c r="C12" s="8" t="s">
        <v>13</v>
      </c>
      <c r="D12" s="8"/>
      <c r="E12" s="8"/>
      <c r="F12" s="8"/>
      <c r="G12" s="8"/>
    </row>
    <row r="13" spans="2:7" ht="15" customHeight="1">
      <c r="B13" s="15" t="s">
        <v>14</v>
      </c>
      <c r="C13" s="8" t="s">
        <v>15</v>
      </c>
      <c r="D13" s="8"/>
      <c r="E13" s="8"/>
      <c r="F13" s="8"/>
      <c r="G13" s="8"/>
    </row>
    <row r="14" spans="2:7" ht="15" customHeight="1">
      <c r="B14" s="15" t="s">
        <v>16</v>
      </c>
      <c r="C14" s="8" t="s">
        <v>17</v>
      </c>
      <c r="D14" s="8"/>
      <c r="E14" s="8"/>
      <c r="F14" s="8"/>
      <c r="G14" s="8"/>
    </row>
    <row r="15" spans="2:7" ht="15" customHeight="1">
      <c r="B15" s="15" t="s">
        <v>18</v>
      </c>
      <c r="C15" s="8" t="s">
        <v>19</v>
      </c>
      <c r="D15" s="8"/>
      <c r="E15" s="8"/>
      <c r="F15" s="8"/>
      <c r="G15" s="8"/>
    </row>
    <row r="16" spans="2:7" ht="15" customHeight="1">
      <c r="B16" s="15" t="s">
        <v>20</v>
      </c>
      <c r="C16" s="8" t="s">
        <v>21</v>
      </c>
      <c r="D16" s="8"/>
      <c r="E16" s="8"/>
      <c r="F16" s="8"/>
      <c r="G16" s="8"/>
    </row>
    <row r="18" spans="2:7" ht="18" customHeight="1">
      <c r="B18" s="9" t="s">
        <v>22</v>
      </c>
      <c r="C18" s="9"/>
      <c r="D18" s="9"/>
      <c r="E18" s="9"/>
    </row>
    <row r="19" spans="2:7" ht="15" customHeight="1">
      <c r="B19" s="16" t="s">
        <v>23</v>
      </c>
      <c r="D19" s="15" t="s">
        <v>24</v>
      </c>
    </row>
    <row r="20" spans="2:7" ht="15" customHeight="1">
      <c r="B20" s="16" t="s">
        <v>25</v>
      </c>
      <c r="D20" s="15" t="s">
        <v>26</v>
      </c>
    </row>
    <row r="21" spans="2:7" ht="15" customHeight="1">
      <c r="B21" s="16" t="s">
        <v>27</v>
      </c>
      <c r="D21" s="15" t="s">
        <v>28</v>
      </c>
    </row>
    <row r="22" spans="2:7" ht="15" customHeight="1">
      <c r="B22" s="16" t="s">
        <v>29</v>
      </c>
      <c r="D22" s="15" t="s">
        <v>30</v>
      </c>
    </row>
    <row r="25" spans="2:7" ht="18.75" customHeight="1">
      <c r="B25" s="7" t="s">
        <v>31</v>
      </c>
      <c r="C25" s="7"/>
      <c r="D25" s="7"/>
      <c r="E25" s="7"/>
      <c r="F25" s="7"/>
      <c r="G25" s="7"/>
    </row>
  </sheetData>
  <mergeCells count="14">
    <mergeCell ref="B25:G25"/>
    <mergeCell ref="C15:G15"/>
    <mergeCell ref="C16:G16"/>
    <mergeCell ref="B18:E18"/>
    <mergeCell ref="C10:G10"/>
    <mergeCell ref="C11:G11"/>
    <mergeCell ref="C12:G12"/>
    <mergeCell ref="C13:G13"/>
    <mergeCell ref="C14:G14"/>
    <mergeCell ref="B2:G2"/>
    <mergeCell ref="B3:G3"/>
    <mergeCell ref="B7:E7"/>
    <mergeCell ref="C8:G8"/>
    <mergeCell ref="C9:G9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88"/>
  <sheetViews>
    <sheetView showGridLines="0" zoomScaleNormal="100"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ColWidth="8.7109375" defaultRowHeight="15"/>
  <cols>
    <col min="1" max="1" width="3" style="12" customWidth="1"/>
    <col min="2" max="2" width="61.5703125" style="12" bestFit="1" customWidth="1"/>
    <col min="3" max="4" width="13" style="12" customWidth="1"/>
    <col min="5" max="5" width="17" style="12" customWidth="1"/>
    <col min="6" max="6" width="18" style="12" customWidth="1"/>
    <col min="7" max="7" width="4" style="12" customWidth="1"/>
  </cols>
  <sheetData>
    <row r="1" spans="2:6" ht="15" customHeight="1">
      <c r="F1" s="17" t="s">
        <v>32</v>
      </c>
    </row>
    <row r="2" spans="2:6" ht="25.5" customHeight="1">
      <c r="B2" s="11" t="s">
        <v>33</v>
      </c>
      <c r="C2" s="11"/>
      <c r="D2" s="11"/>
      <c r="E2" s="11"/>
      <c r="F2" s="11"/>
    </row>
    <row r="4" spans="2:6" ht="18" customHeight="1">
      <c r="B4" s="9" t="s">
        <v>34</v>
      </c>
      <c r="C4" s="9"/>
      <c r="D4" s="9"/>
      <c r="E4" s="9"/>
      <c r="F4" s="9"/>
    </row>
    <row r="5" spans="2:6" ht="15" customHeight="1">
      <c r="B5" s="16" t="s">
        <v>35</v>
      </c>
      <c r="C5" s="6" t="s">
        <v>36</v>
      </c>
      <c r="D5" s="6"/>
      <c r="E5" s="6"/>
      <c r="F5" s="6"/>
    </row>
    <row r="6" spans="2:6" ht="15" customHeight="1">
      <c r="B6" s="16" t="s">
        <v>37</v>
      </c>
      <c r="C6" s="6" t="s">
        <v>38</v>
      </c>
      <c r="D6" s="6"/>
      <c r="E6" s="6"/>
      <c r="F6" s="6"/>
    </row>
    <row r="7" spans="2:6" ht="15" customHeight="1">
      <c r="B7" s="16" t="s">
        <v>39</v>
      </c>
      <c r="C7" s="6" t="s">
        <v>40</v>
      </c>
      <c r="D7" s="6"/>
      <c r="E7" s="6"/>
      <c r="F7" s="6"/>
    </row>
    <row r="8" spans="2:6" ht="15" customHeight="1">
      <c r="B8" s="16" t="s">
        <v>41</v>
      </c>
      <c r="C8" s="6" t="s">
        <v>42</v>
      </c>
      <c r="D8" s="6"/>
      <c r="E8" s="6"/>
      <c r="F8" s="6"/>
    </row>
    <row r="9" spans="2:6" ht="15" customHeight="1">
      <c r="B9" s="16" t="s">
        <v>43</v>
      </c>
      <c r="C9" s="6" t="s">
        <v>44</v>
      </c>
      <c r="D9" s="6"/>
      <c r="E9" s="6"/>
      <c r="F9" s="6"/>
    </row>
    <row r="10" spans="2:6" ht="15" customHeight="1">
      <c r="B10" s="16" t="s">
        <v>45</v>
      </c>
      <c r="C10" s="6" t="s">
        <v>46</v>
      </c>
      <c r="D10" s="6"/>
      <c r="E10" s="6"/>
      <c r="F10" s="6"/>
    </row>
    <row r="11" spans="2:6" ht="15" customHeight="1">
      <c r="B11" s="16" t="s">
        <v>47</v>
      </c>
      <c r="C11" s="5" t="s">
        <v>48</v>
      </c>
      <c r="D11" s="5"/>
      <c r="E11" s="5"/>
      <c r="F11" s="5"/>
    </row>
    <row r="12" spans="2:6" ht="18" customHeight="1">
      <c r="B12" s="9" t="s">
        <v>49</v>
      </c>
      <c r="C12" s="9"/>
      <c r="D12" s="9"/>
      <c r="E12" s="9"/>
      <c r="F12" s="9"/>
    </row>
    <row r="13" spans="2:6" ht="15" customHeight="1">
      <c r="B13" s="13" t="s">
        <v>50</v>
      </c>
      <c r="C13" s="4" t="s">
        <v>54</v>
      </c>
      <c r="D13" s="4"/>
    </row>
    <row r="15" spans="2:6" ht="15" customHeight="1">
      <c r="B15" s="18" t="s">
        <v>52</v>
      </c>
      <c r="C15" s="19" t="s">
        <v>53</v>
      </c>
      <c r="D15" s="19" t="s">
        <v>54</v>
      </c>
      <c r="E15" s="19" t="s">
        <v>51</v>
      </c>
      <c r="F15" s="18"/>
    </row>
    <row r="16" spans="2:6" ht="15" customHeight="1">
      <c r="B16" s="20" t="s">
        <v>55</v>
      </c>
      <c r="C16" s="21">
        <v>0.03</v>
      </c>
      <c r="D16" s="21">
        <v>5.5E-2</v>
      </c>
      <c r="E16" s="21">
        <v>0.08</v>
      </c>
    </row>
    <row r="17" spans="2:6" ht="15" customHeight="1">
      <c r="B17" s="20" t="s">
        <v>56</v>
      </c>
      <c r="C17" s="22">
        <v>25</v>
      </c>
      <c r="D17" s="22">
        <v>50</v>
      </c>
      <c r="E17" s="22">
        <v>90</v>
      </c>
    </row>
    <row r="18" spans="2:6" ht="15" customHeight="1">
      <c r="B18" s="20" t="s">
        <v>57</v>
      </c>
      <c r="C18" s="23">
        <v>4.5</v>
      </c>
      <c r="D18" s="23">
        <v>5.5</v>
      </c>
      <c r="E18" s="23">
        <v>6.5</v>
      </c>
    </row>
    <row r="19" spans="2:6" ht="15" customHeight="1">
      <c r="B19" s="20" t="s">
        <v>58</v>
      </c>
      <c r="C19" s="23">
        <v>2</v>
      </c>
      <c r="D19" s="23">
        <v>2.5</v>
      </c>
      <c r="E19" s="23">
        <v>3</v>
      </c>
    </row>
    <row r="21" spans="2:6" ht="15" customHeight="1">
      <c r="B21" s="13" t="s">
        <v>59</v>
      </c>
    </row>
    <row r="22" spans="2:6" ht="15" customHeight="1">
      <c r="B22" s="16" t="s">
        <v>60</v>
      </c>
      <c r="C22" s="24">
        <f>INDEX(C16:E16,MATCH(C13,$C$15:$E$15,0))</f>
        <v>0.055</v>
      </c>
    </row>
    <row r="23" spans="2:6" ht="15" customHeight="1">
      <c r="B23" s="16" t="s">
        <v>61</v>
      </c>
      <c r="C23" s="25">
        <f>INDEX(C17:E17,MATCH(C13,$C$15:$E$15,0))</f>
        <v>50</v>
      </c>
    </row>
    <row r="24" spans="2:6" ht="15" customHeight="1">
      <c r="B24" s="16" t="s">
        <v>62</v>
      </c>
      <c r="C24" s="26">
        <f>INDEX(C18:E18,MATCH(C13,$C$15:$E$15,0))</f>
        <v>5.5</v>
      </c>
    </row>
    <row r="25" spans="2:6" ht="15" customHeight="1">
      <c r="B25" s="16" t="s">
        <v>63</v>
      </c>
      <c r="C25" s="26">
        <f>INDEX(C19:E19,MATCH(C13,$C$15:$E$15,0))</f>
        <v>2.5</v>
      </c>
    </row>
    <row r="27" spans="2:6" ht="18.75" customHeight="1">
      <c r="B27" s="7" t="s">
        <v>64</v>
      </c>
      <c r="C27" s="7"/>
      <c r="D27" s="7"/>
      <c r="E27" s="7"/>
      <c r="F27" s="7"/>
    </row>
    <row r="29" spans="2:6" ht="18" customHeight="1">
      <c r="B29" s="9" t="s">
        <v>65</v>
      </c>
      <c r="C29" s="9"/>
      <c r="D29" s="9"/>
      <c r="E29" s="9"/>
      <c r="F29" s="9"/>
    </row>
    <row r="30" spans="2:6" ht="15" customHeight="1">
      <c r="B30" s="18" t="s">
        <v>66</v>
      </c>
      <c r="C30" s="19" t="s">
        <v>67</v>
      </c>
      <c r="D30" s="19" t="s">
        <v>68</v>
      </c>
      <c r="E30" s="19" t="s">
        <v>69</v>
      </c>
      <c r="F30" s="19" t="s">
        <v>70</v>
      </c>
    </row>
    <row r="31" spans="2:6" ht="15" customHeight="1">
      <c r="B31" s="27" t="s">
        <v>71</v>
      </c>
      <c r="C31" s="28">
        <v>6.8</v>
      </c>
      <c r="D31" s="29"/>
      <c r="E31" s="21">
        <v>0.16200000000000001</v>
      </c>
      <c r="F31" s="30">
        <f>C31*E31</f>
        <v>1.1016</v>
      </c>
    </row>
    <row r="32" spans="2:6" ht="15" customHeight="1">
      <c r="B32" s="27" t="s">
        <v>72</v>
      </c>
      <c r="C32" s="28">
        <v>7.6</v>
      </c>
      <c r="D32" s="29">
        <f>C32/C31-1</f>
        <v>0.117647058823529</v>
      </c>
      <c r="E32" s="21">
        <v>0.17799999999999999</v>
      </c>
      <c r="F32" s="30">
        <f>C32*E32</f>
        <v>1.3528</v>
      </c>
    </row>
    <row r="33" spans="2:6" ht="15" customHeight="1">
      <c r="B33" s="27" t="s">
        <v>73</v>
      </c>
      <c r="C33" s="28">
        <v>8.3000000000000007</v>
      </c>
      <c r="D33" s="29">
        <f>C33/C32-1</f>
        <v>0.0921052631578949</v>
      </c>
      <c r="E33" s="21">
        <v>0.193</v>
      </c>
      <c r="F33" s="30">
        <f>C33*E33</f>
        <v>1.6019</v>
      </c>
    </row>
    <row r="34" spans="2:6" ht="15" customHeight="1">
      <c r="B34" s="27" t="s">
        <v>74</v>
      </c>
      <c r="C34" s="28">
        <v>8.9</v>
      </c>
      <c r="D34" s="29">
        <f>C34/C33-1</f>
        <v>0.072289156626506</v>
      </c>
      <c r="E34" s="21">
        <v>0.20799999999999999</v>
      </c>
      <c r="F34" s="30">
        <f>C34*E34</f>
        <v>1.8512</v>
      </c>
    </row>
    <row r="35" spans="2:6" ht="15" customHeight="1">
      <c r="B35" s="27" t="s">
        <v>75</v>
      </c>
      <c r="C35" s="28">
        <v>9.4</v>
      </c>
      <c r="D35" s="29">
        <f>C35/C34-1</f>
        <v>0.0561797752808988</v>
      </c>
      <c r="E35" s="21">
        <v>0.223</v>
      </c>
      <c r="F35" s="30">
        <f>C35*E35</f>
        <v>2.0962</v>
      </c>
    </row>
    <row r="36" spans="2:6" ht="15" customHeight="1">
      <c r="B36" s="13" t="s">
        <v>76</v>
      </c>
      <c r="C36" s="31">
        <f>(C35/C31)^(1/4)-1</f>
        <v>0.0843131762523737</v>
      </c>
    </row>
    <row r="39" spans="2:6" ht="18" customHeight="1">
      <c r="B39" s="9" t="s">
        <v>77</v>
      </c>
      <c r="C39" s="9"/>
      <c r="D39" s="9"/>
      <c r="E39" s="9"/>
      <c r="F39" s="9"/>
    </row>
    <row r="40" spans="2:6" ht="15" customHeight="1">
      <c r="B40" s="18" t="s">
        <v>78</v>
      </c>
      <c r="C40" s="19" t="s">
        <v>79</v>
      </c>
      <c r="D40" s="18"/>
      <c r="E40" s="18"/>
      <c r="F40" s="18"/>
    </row>
    <row r="41" spans="2:6" ht="15" customHeight="1">
      <c r="B41" s="16" t="s">
        <v>80</v>
      </c>
      <c r="C41" s="28">
        <v>1.65</v>
      </c>
    </row>
    <row r="42" spans="2:6" ht="15" customHeight="1">
      <c r="B42" s="16" t="s">
        <v>81</v>
      </c>
      <c r="C42" s="28">
        <v>0.28000000000000003</v>
      </c>
    </row>
    <row r="43" spans="2:6" ht="15" customHeight="1">
      <c r="B43" s="16" t="s">
        <v>82</v>
      </c>
      <c r="C43" s="28">
        <v>0.09</v>
      </c>
    </row>
    <row r="44" spans="2:6" ht="15" customHeight="1">
      <c r="B44" s="16" t="s">
        <v>83</v>
      </c>
      <c r="C44" s="28">
        <v>0.06</v>
      </c>
    </row>
    <row r="45" spans="2:6" ht="15" customHeight="1">
      <c r="B45" s="16" t="s">
        <v>84</v>
      </c>
      <c r="C45" s="28">
        <v>-0.08</v>
      </c>
    </row>
    <row r="46" spans="2:6" ht="15" customHeight="1">
      <c r="B46" s="13" t="s">
        <v>85</v>
      </c>
      <c r="C46" s="32">
        <f>SUM(C41:C45)</f>
        <v>2</v>
      </c>
    </row>
    <row r="47" spans="2:6" ht="15" customHeight="1">
      <c r="B47" s="16" t="s">
        <v>86</v>
      </c>
      <c r="C47" s="33">
        <f>C46/C35</f>
        <v>0.212765957446809</v>
      </c>
    </row>
    <row r="50" spans="2:6" ht="18" customHeight="1">
      <c r="B50" s="9" t="s">
        <v>87</v>
      </c>
      <c r="C50" s="9"/>
      <c r="D50" s="9"/>
      <c r="E50" s="9"/>
      <c r="F50" s="9"/>
    </row>
    <row r="51" spans="2:6" ht="15" customHeight="1">
      <c r="B51" s="13" t="s">
        <v>88</v>
      </c>
      <c r="C51" s="34">
        <f>C24</f>
        <v>5.5</v>
      </c>
    </row>
    <row r="52" spans="2:6" ht="15" customHeight="1">
      <c r="B52" s="16" t="s">
        <v>89</v>
      </c>
      <c r="C52" s="35">
        <f>C18</f>
        <v>4.5</v>
      </c>
    </row>
    <row r="53" spans="2:6" ht="15" customHeight="1">
      <c r="B53" s="16" t="s">
        <v>90</v>
      </c>
      <c r="C53" s="35">
        <f>E18</f>
        <v>6.5</v>
      </c>
    </row>
    <row r="54" spans="2:6" ht="15" customHeight="1">
      <c r="B54" s="16" t="s">
        <v>91</v>
      </c>
      <c r="C54" s="28">
        <v>0</v>
      </c>
    </row>
    <row r="56" spans="2:6" ht="18" customHeight="1">
      <c r="B56" s="9" t="s">
        <v>92</v>
      </c>
      <c r="C56" s="9"/>
      <c r="D56" s="9"/>
      <c r="E56" s="9"/>
      <c r="F56" s="9"/>
    </row>
    <row r="57" spans="2:6" ht="15" customHeight="1">
      <c r="B57" s="13" t="s">
        <v>93</v>
      </c>
      <c r="C57" s="34">
        <f>C25</f>
        <v>2.5</v>
      </c>
    </row>
    <row r="58" spans="2:6" ht="15" customHeight="1">
      <c r="B58" s="13" t="s">
        <v>94</v>
      </c>
      <c r="C58" s="36">
        <v>0.1</v>
      </c>
    </row>
    <row r="59" spans="2:6" ht="15" customHeight="1">
      <c r="B59" s="13" t="s">
        <v>95</v>
      </c>
      <c r="C59" s="36">
        <v>0.15</v>
      </c>
    </row>
    <row r="60" spans="2:6" ht="15" customHeight="1">
      <c r="B60" s="16" t="s">
        <v>96</v>
      </c>
      <c r="C60" s="21">
        <v>0.01</v>
      </c>
    </row>
    <row r="62" spans="2:6" ht="18" customHeight="1">
      <c r="B62" s="9" t="s">
        <v>97</v>
      </c>
      <c r="C62" s="9"/>
      <c r="D62" s="9"/>
      <c r="E62" s="9"/>
      <c r="F62" s="9"/>
    </row>
    <row r="63" spans="2:6" ht="15" customHeight="1">
      <c r="B63" s="16" t="s">
        <v>98</v>
      </c>
      <c r="C63" s="21">
        <v>0.37</v>
      </c>
    </row>
    <row r="64" spans="2:6" ht="15" customHeight="1">
      <c r="B64" s="16" t="s">
        <v>99</v>
      </c>
      <c r="C64" s="21">
        <v>0.03</v>
      </c>
    </row>
    <row r="65" spans="2:6" ht="15" customHeight="1">
      <c r="B65" s="16" t="s">
        <v>100</v>
      </c>
      <c r="C65" s="21">
        <v>0.02</v>
      </c>
    </row>
    <row r="66" spans="2:6" ht="15" customHeight="1">
      <c r="B66" s="16" t="s">
        <v>101</v>
      </c>
      <c r="C66" s="21">
        <v>0.12</v>
      </c>
    </row>
    <row r="67" spans="2:6" ht="15" customHeight="1">
      <c r="B67" s="16" t="s">
        <v>102</v>
      </c>
      <c r="C67" s="21">
        <v>0.1</v>
      </c>
    </row>
    <row r="68" spans="2:6" ht="15" customHeight="1">
      <c r="B68" s="16" t="s">
        <v>103</v>
      </c>
      <c r="C68" s="21">
        <v>0.08</v>
      </c>
    </row>
    <row r="69" spans="2:6" ht="15" customHeight="1">
      <c r="B69" s="16" t="s">
        <v>104</v>
      </c>
      <c r="C69" s="21">
        <v>0.3</v>
      </c>
    </row>
    <row r="70" spans="2:6" ht="15" customHeight="1">
      <c r="B70" s="16" t="s">
        <v>105</v>
      </c>
      <c r="C70" s="28">
        <v>0.3</v>
      </c>
    </row>
    <row r="71" spans="2:6" ht="15" customHeight="1">
      <c r="B71" s="16" t="s">
        <v>106</v>
      </c>
      <c r="C71" s="21">
        <v>0.25</v>
      </c>
    </row>
    <row r="73" spans="2:6" ht="18" customHeight="1">
      <c r="B73" s="9" t="s">
        <v>107</v>
      </c>
      <c r="C73" s="9"/>
      <c r="D73" s="9"/>
      <c r="E73" s="9"/>
      <c r="F73" s="9"/>
    </row>
    <row r="74" spans="2:6" ht="15" customHeight="1">
      <c r="B74" s="16" t="s">
        <v>108</v>
      </c>
      <c r="C74" s="21">
        <v>8.7499999999999994E-2</v>
      </c>
    </row>
    <row r="75" spans="2:6" ht="15" customHeight="1">
      <c r="B75" s="16" t="s">
        <v>109</v>
      </c>
      <c r="C75" s="37">
        <v>6</v>
      </c>
    </row>
    <row r="76" spans="2:6" ht="15" customHeight="1">
      <c r="B76" s="16" t="s">
        <v>110</v>
      </c>
      <c r="C76" s="21">
        <v>0.08</v>
      </c>
    </row>
    <row r="79" spans="2:6" ht="18" customHeight="1">
      <c r="B79" s="9" t="s">
        <v>111</v>
      </c>
      <c r="C79" s="9"/>
      <c r="D79" s="9"/>
      <c r="E79" s="9"/>
      <c r="F79" s="9"/>
    </row>
    <row r="80" spans="2:6" ht="15" customHeight="1">
      <c r="B80" s="18" t="s">
        <v>112</v>
      </c>
      <c r="C80" s="19" t="s">
        <v>113</v>
      </c>
      <c r="D80" s="19" t="s">
        <v>114</v>
      </c>
      <c r="E80" s="19" t="s">
        <v>115</v>
      </c>
      <c r="F80" s="18"/>
    </row>
    <row r="81" spans="2:6" ht="15" customHeight="1">
      <c r="B81" s="20" t="s">
        <v>116</v>
      </c>
      <c r="C81" s="38">
        <v>0</v>
      </c>
      <c r="D81" s="38">
        <v>5</v>
      </c>
      <c r="E81" s="21">
        <v>7.0000000000000007E-2</v>
      </c>
    </row>
    <row r="82" spans="2:6" ht="15" customHeight="1">
      <c r="B82" s="20" t="s">
        <v>117</v>
      </c>
      <c r="C82" s="38">
        <v>5</v>
      </c>
      <c r="D82" s="38">
        <v>10</v>
      </c>
      <c r="E82" s="21">
        <v>0.06</v>
      </c>
    </row>
    <row r="83" spans="2:6" ht="15" customHeight="1">
      <c r="B83" s="20" t="s">
        <v>118</v>
      </c>
      <c r="C83" s="38">
        <v>10</v>
      </c>
      <c r="D83" s="38">
        <v>15</v>
      </c>
      <c r="E83" s="21">
        <v>0.05</v>
      </c>
    </row>
    <row r="84" spans="2:6" ht="15" customHeight="1">
      <c r="B84" s="20" t="s">
        <v>119</v>
      </c>
      <c r="C84" s="38">
        <v>15</v>
      </c>
      <c r="D84" s="38">
        <v>20</v>
      </c>
      <c r="E84" s="21">
        <v>0.04</v>
      </c>
    </row>
    <row r="85" spans="2:6" ht="15" customHeight="1">
      <c r="B85" s="20" t="s">
        <v>120</v>
      </c>
      <c r="C85" s="38">
        <v>20</v>
      </c>
      <c r="D85" s="39">
        <v>9999</v>
      </c>
      <c r="E85" s="21">
        <v>0.03</v>
      </c>
    </row>
    <row r="86" spans="2:6" ht="15" customHeight="1">
      <c r="B86" s="13" t="s">
        <v>121</v>
      </c>
      <c r="C86" s="40">
        <v>0.25</v>
      </c>
    </row>
    <row r="88" spans="2:6" ht="18.75" customHeight="1">
      <c r="B88" s="7" t="s">
        <v>122</v>
      </c>
      <c r="C88" s="7"/>
      <c r="D88" s="7"/>
      <c r="E88" s="7"/>
      <c r="F88" s="7"/>
    </row>
  </sheetData>
  <mergeCells count="20">
    <mergeCell ref="B79:F79"/>
    <mergeCell ref="B88:F88"/>
    <mergeCell ref="B50:F50"/>
    <mergeCell ref="B56:F56"/>
    <mergeCell ref="B62:F62"/>
    <mergeCell ref="B73:F73"/>
    <mergeCell ref="C13:D13"/>
    <mergeCell ref="B27:F27"/>
    <mergeCell ref="B29:F29"/>
    <mergeCell ref="B39:F39"/>
    <mergeCell ref="C8:F8"/>
    <mergeCell ref="C9:F9"/>
    <mergeCell ref="C10:F10"/>
    <mergeCell ref="C11:F11"/>
    <mergeCell ref="B12:F12"/>
    <mergeCell ref="B2:F2"/>
    <mergeCell ref="B4:F4"/>
    <mergeCell ref="C5:F5"/>
    <mergeCell ref="C6:F6"/>
    <mergeCell ref="C7:F7"/>
  </mergeCells>
  <dataValidations count="1">
    <dataValidation type="list" errorTitle="Invalid entry" error="Please select Low Case, Base Case, or High Case." promptTitle="Scenario Selector" prompt="Choose the scenario to drive the model" sqref="C13" xr:uid="{00000000-0002-0000-0100-000000000000}">
      <formula1>"Low Case,Base Case,High Case"</formula1>
      <formula2>0</formula2>
    </dataValidation>
  </dataValidations>
  <pageMargins left="0.3" right="0.3" top="0.4" bottom="0.4" header="0.511811023622047" footer="0.511811023622047"/>
  <pageSetup paperSize="9" fitToHeight="0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20"/>
  <sheetViews>
    <sheetView showGridLines="0" zoomScaleNormal="100" workbookViewId="0">
      <pane xSplit="2" ySplit="3" topLeftCell="C4" activePane="bottomRight" state="frozen"/>
      <selection pane="bottomRight" activeCell="C4" sqref="C4"/>
      <selection pane="bottomLeft" activeCell="A4" sqref="A4"/>
      <selection pane="topRight" activeCell="C1" sqref="C1"/>
    </sheetView>
  </sheetViews>
  <sheetFormatPr defaultColWidth="8.7109375" defaultRowHeight="15"/>
  <cols>
    <col min="1" max="1" width="3" style="12" customWidth="1"/>
    <col min="2" max="2" width="38" style="12" customWidth="1"/>
    <col min="3" max="12" width="10" style="12" customWidth="1"/>
  </cols>
  <sheetData>
    <row r="1" spans="2:12" ht="15" customHeight="1">
      <c r="F1" s="17" t="s">
        <v>32</v>
      </c>
    </row>
    <row r="2" spans="2:12" ht="25.5" customHeight="1">
      <c r="B2" s="11" t="s">
        <v>123</v>
      </c>
      <c r="C2" s="11"/>
      <c r="D2" s="11"/>
      <c r="E2" s="11"/>
      <c r="F2" s="11"/>
      <c r="G2" s="11"/>
      <c r="H2" s="11"/>
      <c r="I2" s="11"/>
      <c r="J2" s="11"/>
      <c r="K2" s="11"/>
    </row>
    <row r="3" spans="2:12" ht="15.75" customHeight="1">
      <c r="B3" s="3" t="s">
        <v>124</v>
      </c>
      <c r="C3" s="3"/>
      <c r="D3" s="3"/>
      <c r="E3" s="3"/>
      <c r="F3" s="3"/>
      <c r="G3" s="3"/>
      <c r="H3" s="3"/>
      <c r="I3" s="3"/>
      <c r="J3" s="3"/>
      <c r="K3" s="3"/>
    </row>
    <row r="5" spans="2:12" ht="15" customHeight="1">
      <c r="B5" s="18" t="s">
        <v>125</v>
      </c>
      <c r="C5" s="19" t="s">
        <v>71</v>
      </c>
      <c r="D5" s="19" t="s">
        <v>72</v>
      </c>
      <c r="E5" s="19" t="s">
        <v>73</v>
      </c>
      <c r="F5" s="19" t="s">
        <v>74</v>
      </c>
      <c r="G5" s="19" t="s">
        <v>75</v>
      </c>
      <c r="H5" s="19" t="s">
        <v>126</v>
      </c>
      <c r="I5" s="19" t="s">
        <v>127</v>
      </c>
      <c r="J5" s="19" t="s">
        <v>128</v>
      </c>
      <c r="K5" s="19" t="s">
        <v>129</v>
      </c>
      <c r="L5" s="19" t="s">
        <v>130</v>
      </c>
    </row>
    <row r="6" spans="2:12" ht="15" customHeight="1">
      <c r="B6" s="13" t="s">
        <v>131</v>
      </c>
      <c r="C6" s="41">
        <f>Assumptions!C31</f>
        <v>6.8</v>
      </c>
      <c r="D6" s="41">
        <f>Assumptions!C32</f>
        <v>7.6</v>
      </c>
      <c r="E6" s="41">
        <f>Assumptions!C33</f>
        <v>8.3</v>
      </c>
      <c r="F6" s="41">
        <f>Assumptions!C34</f>
        <v>8.9</v>
      </c>
      <c r="G6" s="41">
        <f>Assumptions!C35</f>
        <v>9.4</v>
      </c>
      <c r="H6" s="42">
        <f>G6*(1+Assumptions!C22)</f>
        <v>9.917</v>
      </c>
      <c r="I6" s="42">
        <f>H6*(1+Assumptions!C22)</f>
        <v>10.462435</v>
      </c>
      <c r="J6" s="42">
        <f>I6*(1+Assumptions!C22)</f>
        <v>11.037868925</v>
      </c>
      <c r="K6" s="42">
        <f>J6*(1+Assumptions!C22)</f>
        <v>11.644951715875</v>
      </c>
      <c r="L6" s="42">
        <f>K6*(1+Assumptions!C22)</f>
        <v>12.2854240602481</v>
      </c>
    </row>
    <row r="7" spans="2:12" ht="15" customHeight="1">
      <c r="B7" s="16" t="s">
        <v>132</v>
      </c>
      <c r="D7" s="29">
        <f>D6/C6-1</f>
        <v>0.117647058823529</v>
      </c>
      <c r="E7" s="29">
        <f>E6/D6-1</f>
        <v>0.0921052631578949</v>
      </c>
      <c r="F7" s="29">
        <f>F6/E6-1</f>
        <v>0.072289156626506</v>
      </c>
      <c r="G7" s="29">
        <f>G6/F6-1</f>
        <v>0.0561797752808988</v>
      </c>
      <c r="H7" s="43">
        <f>H6/G6-1</f>
        <v>0.0549999999999999</v>
      </c>
      <c r="I7" s="43">
        <f>I6/H6-1</f>
        <v>0.0549999999999999</v>
      </c>
      <c r="J7" s="43">
        <f>J6/I6-1</f>
        <v>0.0549999999999999</v>
      </c>
      <c r="K7" s="43">
        <f>K6/J6-1</f>
        <v>0.0549999999999999</v>
      </c>
      <c r="L7" s="43">
        <f>L6/K6-1</f>
        <v>0.0549999999999999</v>
      </c>
    </row>
    <row r="8" spans="2:12" ht="15" customHeight="1">
      <c r="B8" s="16" t="s">
        <v>133</v>
      </c>
      <c r="C8" s="44">
        <f>Assumptions!C63</f>
        <v>0.37</v>
      </c>
      <c r="D8" s="44">
        <f>Assumptions!C63</f>
        <v>0.37</v>
      </c>
      <c r="E8" s="44">
        <f>Assumptions!C63</f>
        <v>0.37</v>
      </c>
      <c r="F8" s="44">
        <f>Assumptions!C63</f>
        <v>0.37</v>
      </c>
      <c r="G8" s="44">
        <f>Assumptions!C63</f>
        <v>0.37</v>
      </c>
      <c r="H8" s="45">
        <f>Assumptions!C63</f>
        <v>0.37</v>
      </c>
      <c r="I8" s="45">
        <f>Assumptions!C63</f>
        <v>0.37</v>
      </c>
      <c r="J8" s="45">
        <f>Assumptions!C63</f>
        <v>0.37</v>
      </c>
      <c r="K8" s="45">
        <f>Assumptions!C63</f>
        <v>0.37</v>
      </c>
      <c r="L8" s="45">
        <f>Assumptions!C63</f>
        <v>0.37</v>
      </c>
    </row>
    <row r="9" spans="2:12" ht="15" customHeight="1">
      <c r="B9" s="13" t="s">
        <v>134</v>
      </c>
      <c r="C9" s="46">
        <f>C6*C8</f>
        <v>2.516</v>
      </c>
      <c r="D9" s="46">
        <f>D6*D8</f>
        <v>2.812</v>
      </c>
      <c r="E9" s="46">
        <f>E6*E8</f>
        <v>3.071</v>
      </c>
      <c r="F9" s="46">
        <f>F6*F8</f>
        <v>3.293</v>
      </c>
      <c r="G9" s="46">
        <f>G6*G8</f>
        <v>3.478</v>
      </c>
      <c r="H9" s="42">
        <f>H6*H8</f>
        <v>3.66929</v>
      </c>
      <c r="I9" s="42">
        <f>I6*I8</f>
        <v>3.87110095</v>
      </c>
      <c r="J9" s="42">
        <f>J6*J8</f>
        <v>4.08401150225</v>
      </c>
      <c r="K9" s="42">
        <f>K6*K8</f>
        <v>4.30863213487375</v>
      </c>
      <c r="L9" s="42">
        <f>L6*L8</f>
        <v>4.54560690229181</v>
      </c>
    </row>
    <row r="10" spans="2:12" ht="15" customHeight="1">
      <c r="B10" s="16" t="s">
        <v>135</v>
      </c>
      <c r="C10" s="44">
        <f>Assumptions!E31</f>
        <v>0.162</v>
      </c>
      <c r="D10" s="44">
        <f>Assumptions!E32</f>
        <v>0.178</v>
      </c>
      <c r="E10" s="44">
        <f>Assumptions!E33</f>
        <v>0.193</v>
      </c>
      <c r="F10" s="44">
        <f>Assumptions!E34</f>
        <v>0.208</v>
      </c>
      <c r="G10" s="44">
        <f>Assumptions!E35</f>
        <v>0.223</v>
      </c>
      <c r="H10" s="43">
        <f>G10+Assumptions!C23/10000</f>
        <v>0.228</v>
      </c>
      <c r="I10" s="43">
        <f>H10+Assumptions!C23/10000</f>
        <v>0.233</v>
      </c>
      <c r="J10" s="43">
        <f>I10+Assumptions!C23/10000</f>
        <v>0.238</v>
      </c>
      <c r="K10" s="43">
        <f>J10+Assumptions!C23/10000</f>
        <v>0.243</v>
      </c>
      <c r="L10" s="43">
        <f>K10+Assumptions!C23/10000</f>
        <v>0.248</v>
      </c>
    </row>
    <row r="11" spans="2:12" ht="15" customHeight="1">
      <c r="B11" s="13" t="s">
        <v>136</v>
      </c>
      <c r="C11" s="32">
        <f>C6*C10</f>
        <v>1.1016</v>
      </c>
      <c r="D11" s="32">
        <f>D6*D10</f>
        <v>1.3528</v>
      </c>
      <c r="E11" s="32">
        <f>E6*E10</f>
        <v>1.6019</v>
      </c>
      <c r="F11" s="32">
        <f>F6*F10</f>
        <v>1.8512</v>
      </c>
      <c r="G11" s="32">
        <f>G6*G10</f>
        <v>2.0962</v>
      </c>
      <c r="H11" s="47">
        <f>H6*H10</f>
        <v>2.261076</v>
      </c>
      <c r="I11" s="47">
        <f>I6*I10</f>
        <v>2.437747355</v>
      </c>
      <c r="J11" s="47">
        <f>J6*J10</f>
        <v>2.62701280415</v>
      </c>
      <c r="K11" s="47">
        <f>K6*K10</f>
        <v>2.82972326695762</v>
      </c>
      <c r="L11" s="47">
        <f>L6*L10</f>
        <v>3.04678516694153</v>
      </c>
    </row>
    <row r="12" spans="2:12" ht="15" customHeight="1">
      <c r="B12" s="16" t="s">
        <v>137</v>
      </c>
      <c r="C12" s="30">
        <f>C9-C11</f>
        <v>1.4144</v>
      </c>
      <c r="D12" s="30">
        <f>D9-D11</f>
        <v>1.4592</v>
      </c>
      <c r="E12" s="30">
        <f>E9-E11</f>
        <v>1.4691</v>
      </c>
      <c r="F12" s="30">
        <f>F9-F11</f>
        <v>1.4418</v>
      </c>
      <c r="G12" s="30">
        <f>G9-G11</f>
        <v>1.3818</v>
      </c>
      <c r="H12" s="48">
        <f>H9-H11</f>
        <v>1.408214</v>
      </c>
      <c r="I12" s="48">
        <f>I9-I11</f>
        <v>1.433353595</v>
      </c>
      <c r="J12" s="48">
        <f>J9-J11</f>
        <v>1.4569986981</v>
      </c>
      <c r="K12" s="48">
        <f>K9-K11</f>
        <v>1.47890886791612</v>
      </c>
      <c r="L12" s="48">
        <f>L9-L11</f>
        <v>1.49882173535027</v>
      </c>
    </row>
    <row r="13" spans="2:12" ht="15" customHeight="1">
      <c r="B13" s="16" t="s">
        <v>138</v>
      </c>
      <c r="C13" s="30">
        <f>C6*Assumptions!C64</f>
        <v>0.204</v>
      </c>
      <c r="D13" s="30">
        <f>D6*Assumptions!C64</f>
        <v>0.228</v>
      </c>
      <c r="E13" s="30">
        <f>E6*Assumptions!C64</f>
        <v>0.249</v>
      </c>
      <c r="F13" s="30">
        <f>F6*Assumptions!C64</f>
        <v>0.267</v>
      </c>
      <c r="G13" s="30">
        <f>G6*Assumptions!C64</f>
        <v>0.282</v>
      </c>
      <c r="H13" s="48">
        <f>H6*Assumptions!C64</f>
        <v>0.29751</v>
      </c>
      <c r="I13" s="48">
        <f>I6*Assumptions!C64</f>
        <v>0.31387305</v>
      </c>
      <c r="J13" s="48">
        <f>J6*Assumptions!C64</f>
        <v>0.33113606775</v>
      </c>
      <c r="K13" s="48">
        <f>K6*Assumptions!C64</f>
        <v>0.34934855147625</v>
      </c>
      <c r="L13" s="48">
        <f>L6*Assumptions!C64</f>
        <v>0.368562721807444</v>
      </c>
    </row>
    <row r="14" spans="2:12" ht="15" customHeight="1">
      <c r="B14" s="13" t="s">
        <v>139</v>
      </c>
      <c r="C14" s="32">
        <f>C11-C13</f>
        <v>0.8976</v>
      </c>
      <c r="D14" s="32">
        <f>D11-D13</f>
        <v>1.1248</v>
      </c>
      <c r="E14" s="32">
        <f>E11-E13</f>
        <v>1.3529</v>
      </c>
      <c r="F14" s="32">
        <f>F11-F13</f>
        <v>1.5842</v>
      </c>
      <c r="G14" s="32">
        <f>G11-G13</f>
        <v>1.8142</v>
      </c>
      <c r="H14" s="47">
        <f>H11-H13</f>
        <v>1.963566</v>
      </c>
      <c r="I14" s="47">
        <f>I11-I13</f>
        <v>2.123874305</v>
      </c>
      <c r="J14" s="47">
        <f>J11-J13</f>
        <v>2.2958767364</v>
      </c>
      <c r="K14" s="47">
        <f>K11-K13</f>
        <v>2.48037471548137</v>
      </c>
      <c r="L14" s="47">
        <f>L11-L13</f>
        <v>2.67822244513409</v>
      </c>
    </row>
    <row r="15" spans="2:12" ht="15" customHeight="1">
      <c r="B15" s="16" t="s">
        <v>140</v>
      </c>
      <c r="C15" s="49" t="s">
        <v>141</v>
      </c>
      <c r="D15" s="49" t="s">
        <v>141</v>
      </c>
      <c r="E15" s="49" t="s">
        <v>141</v>
      </c>
      <c r="F15" s="49" t="s">
        <v>141</v>
      </c>
      <c r="G15" s="49" t="s">
        <v>141</v>
      </c>
      <c r="H15" s="50">
        <f>'Cash Flow &amp; Debt Schedule'!C17</f>
        <v>0.5255</v>
      </c>
      <c r="I15" s="50">
        <f>'Cash Flow &amp; Debt Schedule'!D17</f>
        <v>0.452583333333333</v>
      </c>
      <c r="J15" s="50">
        <f>'Cash Flow &amp; Debt Schedule'!E17</f>
        <v>0.379666666666667</v>
      </c>
      <c r="K15" s="50">
        <f>'Cash Flow &amp; Debt Schedule'!F17</f>
        <v>0.30675</v>
      </c>
      <c r="L15" s="50">
        <f>'Cash Flow &amp; Debt Schedule'!G17</f>
        <v>0.233833333333333</v>
      </c>
    </row>
    <row r="16" spans="2:12" ht="15" customHeight="1">
      <c r="B16" s="13" t="s">
        <v>142</v>
      </c>
      <c r="C16" s="49" t="s">
        <v>141</v>
      </c>
      <c r="D16" s="49" t="s">
        <v>141</v>
      </c>
      <c r="E16" s="49" t="s">
        <v>141</v>
      </c>
      <c r="F16" s="49" t="s">
        <v>141</v>
      </c>
      <c r="G16" s="49" t="s">
        <v>141</v>
      </c>
      <c r="H16" s="47">
        <f>H14-H15</f>
        <v>1.438066</v>
      </c>
      <c r="I16" s="47">
        <f>I14-I15</f>
        <v>1.67129097166667</v>
      </c>
      <c r="J16" s="47">
        <f>J14-J15</f>
        <v>1.91621006973333</v>
      </c>
      <c r="K16" s="47">
        <f>K14-K15</f>
        <v>2.17362471548137</v>
      </c>
      <c r="L16" s="47">
        <f>L14-L15</f>
        <v>2.44438911180076</v>
      </c>
    </row>
    <row r="17" spans="2:12" ht="15" customHeight="1">
      <c r="B17" s="16" t="s">
        <v>143</v>
      </c>
      <c r="C17" s="49" t="s">
        <v>141</v>
      </c>
      <c r="D17" s="49" t="s">
        <v>141</v>
      </c>
      <c r="E17" s="49" t="s">
        <v>141</v>
      </c>
      <c r="F17" s="49" t="s">
        <v>141</v>
      </c>
      <c r="G17" s="49" t="s">
        <v>141</v>
      </c>
      <c r="H17" s="48">
        <f>MAX(H16,0)*Assumptions!C71</f>
        <v>0.3595165</v>
      </c>
      <c r="I17" s="48">
        <f>MAX(I16,0)*Assumptions!C71</f>
        <v>0.417822742916667</v>
      </c>
      <c r="J17" s="48">
        <f>MAX(J16,0)*Assumptions!C71</f>
        <v>0.479052517433333</v>
      </c>
      <c r="K17" s="48">
        <f>MAX(K16,0)*Assumptions!C71</f>
        <v>0.543406178870344</v>
      </c>
      <c r="L17" s="48">
        <f>MAX(L16,0)*Assumptions!C71</f>
        <v>0.61109727795019</v>
      </c>
    </row>
    <row r="18" spans="2:12" ht="15" customHeight="1">
      <c r="B18" s="13" t="s">
        <v>144</v>
      </c>
      <c r="C18" s="49" t="s">
        <v>141</v>
      </c>
      <c r="D18" s="49" t="s">
        <v>141</v>
      </c>
      <c r="E18" s="49" t="s">
        <v>141</v>
      </c>
      <c r="F18" s="49" t="s">
        <v>141</v>
      </c>
      <c r="G18" s="49" t="s">
        <v>141</v>
      </c>
      <c r="H18" s="51">
        <f>H16-H17</f>
        <v>1.0785495</v>
      </c>
      <c r="I18" s="51">
        <f>I16-I17</f>
        <v>1.25346822875</v>
      </c>
      <c r="J18" s="51">
        <f>J16-J17</f>
        <v>1.4371575523</v>
      </c>
      <c r="K18" s="51">
        <f>K16-K17</f>
        <v>1.63021853661103</v>
      </c>
      <c r="L18" s="51">
        <f>L16-L17</f>
        <v>1.83329183385057</v>
      </c>
    </row>
    <row r="20" spans="2:12" ht="27.75" customHeight="1">
      <c r="B20" s="7"/>
      <c r="C20" s="7"/>
      <c r="D20" s="7"/>
      <c r="E20" s="7"/>
      <c r="F20" s="7"/>
      <c r="G20" s="7"/>
      <c r="H20" s="7"/>
      <c r="I20" s="7"/>
      <c r="J20" s="7"/>
      <c r="K20" s="7"/>
    </row>
  </sheetData>
  <mergeCells count="3">
    <mergeCell ref="B2:K2"/>
    <mergeCell ref="B3:K3"/>
    <mergeCell ref="B20:K20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9"/>
  <sheetViews>
    <sheetView showGridLines="0" zoomScaleNormal="100" workbookViewId="0">
      <pane xSplit="2" ySplit="3" topLeftCell="C4" activePane="bottomRight" state="frozen"/>
      <selection pane="bottomRight" activeCell="C4" sqref="C4"/>
      <selection pane="bottomLeft" activeCell="A4" sqref="A4"/>
      <selection pane="topRight" activeCell="C1" sqref="C1"/>
    </sheetView>
  </sheetViews>
  <sheetFormatPr defaultColWidth="8.7109375" defaultRowHeight="15"/>
  <cols>
    <col min="1" max="1" width="3" style="12" customWidth="1"/>
    <col min="2" max="2" width="46" style="12" customWidth="1"/>
    <col min="3" max="3" width="15" style="12" customWidth="1"/>
    <col min="4" max="8" width="13" style="12" customWidth="1"/>
  </cols>
  <sheetData>
    <row r="1" spans="2:8" ht="15" customHeight="1">
      <c r="F1" s="17" t="s">
        <v>32</v>
      </c>
    </row>
    <row r="2" spans="2:8" ht="25.5" customHeight="1">
      <c r="B2" s="11" t="s">
        <v>145</v>
      </c>
      <c r="C2" s="11"/>
      <c r="D2" s="11"/>
      <c r="E2" s="11"/>
      <c r="F2" s="11"/>
      <c r="G2" s="11"/>
      <c r="H2" s="11"/>
    </row>
    <row r="3" spans="2:8" ht="15.75" customHeight="1">
      <c r="B3" s="3" t="s">
        <v>146</v>
      </c>
      <c r="C3" s="3"/>
      <c r="D3" s="3"/>
      <c r="E3" s="3"/>
      <c r="F3" s="3"/>
      <c r="G3" s="3"/>
      <c r="H3" s="3"/>
    </row>
    <row r="5" spans="2:8" ht="15" customHeight="1">
      <c r="B5" s="18" t="s">
        <v>125</v>
      </c>
      <c r="C5" s="19" t="s">
        <v>147</v>
      </c>
      <c r="D5" s="19" t="s">
        <v>126</v>
      </c>
      <c r="E5" s="19" t="s">
        <v>127</v>
      </c>
      <c r="F5" s="19" t="s">
        <v>128</v>
      </c>
      <c r="G5" s="19" t="s">
        <v>129</v>
      </c>
      <c r="H5" s="19" t="s">
        <v>130</v>
      </c>
    </row>
    <row r="6" spans="2:8" ht="18" customHeight="1">
      <c r="B6" s="9" t="s">
        <v>148</v>
      </c>
      <c r="C6" s="9"/>
      <c r="D6" s="9"/>
      <c r="E6" s="9"/>
      <c r="F6" s="9"/>
      <c r="G6" s="9"/>
    </row>
    <row r="7" spans="2:8" ht="15" customHeight="1">
      <c r="B7" s="16" t="s">
        <v>149</v>
      </c>
      <c r="C7" s="41">
        <f>Assumptions!C70</f>
        <v>0.3</v>
      </c>
      <c r="D7" s="41">
        <f>'Cash Flow &amp; Debt Schedule'!C35</f>
        <v>0.575831966666667</v>
      </c>
      <c r="E7" s="41">
        <f>'Cash Flow &amp; Debt Schedule'!D35</f>
        <v>1.02826653108333</v>
      </c>
      <c r="F7" s="41">
        <f>'Cash Flow &amp; Debt Schedule'!E35</f>
        <v>1.666166900845</v>
      </c>
      <c r="G7" s="41">
        <f>'Cash Flow &amp; Debt Schedule'!F35</f>
        <v>2.49900244321142</v>
      </c>
      <c r="H7" s="41">
        <f>'Cash Flow &amp; Debt Schedule'!G35</f>
        <v>3.53688855146726</v>
      </c>
    </row>
    <row r="8" spans="2:8" ht="15" customHeight="1">
      <c r="B8" s="16" t="s">
        <v>150</v>
      </c>
      <c r="C8" s="30">
        <f>'Income Statement'!G6*Assumptions!C66</f>
        <v>1.128</v>
      </c>
      <c r="D8" s="30">
        <f>'Income Statement'!H6*Assumptions!C66</f>
        <v>1.19004</v>
      </c>
      <c r="E8" s="30">
        <f>'Income Statement'!I6*Assumptions!C66</f>
        <v>1.2554922</v>
      </c>
      <c r="F8" s="30">
        <f>'Income Statement'!J6*Assumptions!C66</f>
        <v>1.324544271</v>
      </c>
      <c r="G8" s="30">
        <f>'Income Statement'!K6*Assumptions!C66</f>
        <v>1.397394205905</v>
      </c>
      <c r="H8" s="30">
        <f>'Income Statement'!L6*Assumptions!C66</f>
        <v>1.47425088722977</v>
      </c>
    </row>
    <row r="9" spans="2:8" ht="15" customHeight="1">
      <c r="B9" s="16" t="s">
        <v>151</v>
      </c>
      <c r="C9" s="30">
        <f>('Income Statement'!G6-'Income Statement'!G9)*Assumptions!C67</f>
        <v>0.5922</v>
      </c>
      <c r="D9" s="30">
        <f>('Income Statement'!H6-'Income Statement'!H9)*Assumptions!C67</f>
        <v>0.624771</v>
      </c>
      <c r="E9" s="30">
        <f>('Income Statement'!I6-'Income Statement'!I9)*Assumptions!C67</f>
        <v>0.659133405</v>
      </c>
      <c r="F9" s="30">
        <f>('Income Statement'!J6-'Income Statement'!J9)*Assumptions!C67</f>
        <v>0.695385742275</v>
      </c>
      <c r="G9" s="30">
        <f>('Income Statement'!K6-'Income Statement'!K9)*Assumptions!C67</f>
        <v>0.733631958100125</v>
      </c>
      <c r="H9" s="30">
        <f>('Income Statement'!L6-'Income Statement'!L9)*Assumptions!C67</f>
        <v>0.773981715795632</v>
      </c>
    </row>
    <row r="10" spans="2:8" ht="15" customHeight="1">
      <c r="B10" s="16" t="s">
        <v>152</v>
      </c>
      <c r="C10" s="30">
        <f>'Income Statement'!G6*Assumptions!C69</f>
        <v>2.82</v>
      </c>
      <c r="D10" s="30">
        <f>C10-'Cash Flow &amp; Debt Schedule'!C27-'Cash Flow &amp; Debt Schedule'!C21</f>
        <v>2.72083</v>
      </c>
      <c r="E10" s="30">
        <f>D10-'Cash Flow &amp; Debt Schedule'!D27-'Cash Flow &amp; Debt Schedule'!D21</f>
        <v>2.61620565</v>
      </c>
      <c r="F10" s="30">
        <f>E10-'Cash Flow &amp; Debt Schedule'!E27-'Cash Flow &amp; Debt Schedule'!E21</f>
        <v>2.50582696075</v>
      </c>
      <c r="G10" s="30">
        <f>F10-'Cash Flow &amp; Debt Schedule'!F27-'Cash Flow &amp; Debt Schedule'!F21</f>
        <v>2.38937744359125</v>
      </c>
      <c r="H10" s="30">
        <f>G10-'Cash Flow &amp; Debt Schedule'!G27-'Cash Flow &amp; Debt Schedule'!G21</f>
        <v>2.26652320298877</v>
      </c>
    </row>
    <row r="11" spans="2:8" ht="15" customHeight="1">
      <c r="B11" s="16" t="s">
        <v>153</v>
      </c>
      <c r="C11" s="30">
        <f>(C15+'Sources &amp; Uses'!C10)-C7-C8-C9-C10</f>
        <v>7.44356</v>
      </c>
      <c r="D11" s="30">
        <f>C11</f>
        <v>7.44356</v>
      </c>
      <c r="E11" s="30">
        <f>D11</f>
        <v>7.44356</v>
      </c>
      <c r="F11" s="30">
        <f>E11</f>
        <v>7.44356</v>
      </c>
      <c r="G11" s="30">
        <f>F11</f>
        <v>7.44356</v>
      </c>
      <c r="H11" s="30">
        <f>G11</f>
        <v>7.44356</v>
      </c>
    </row>
    <row r="12" spans="2:8" ht="15" customHeight="1">
      <c r="B12" s="13" t="s">
        <v>154</v>
      </c>
      <c r="C12" s="52">
        <f>SUM(C7:C11)</f>
        <v>12.28376</v>
      </c>
      <c r="D12" s="52">
        <f>SUM(D7:D11)</f>
        <v>12.5550329666667</v>
      </c>
      <c r="E12" s="52">
        <f>SUM(E7:E11)</f>
        <v>13.0026577860833</v>
      </c>
      <c r="F12" s="52">
        <f>SUM(F7:F11)</f>
        <v>13.63548387487</v>
      </c>
      <c r="G12" s="52">
        <f>SUM(G7:G11)</f>
        <v>14.4629660508078</v>
      </c>
      <c r="H12" s="52">
        <f>SUM(H7:H11)</f>
        <v>15.4952043574814</v>
      </c>
    </row>
    <row r="14" spans="2:8" ht="18" customHeight="1">
      <c r="B14" s="9" t="s">
        <v>155</v>
      </c>
      <c r="C14" s="9"/>
      <c r="D14" s="9"/>
      <c r="E14" s="9"/>
      <c r="F14" s="9"/>
      <c r="G14" s="9"/>
    </row>
    <row r="15" spans="2:8" ht="15" customHeight="1">
      <c r="B15" s="16" t="s">
        <v>156</v>
      </c>
      <c r="C15" s="30">
        <f>('Income Statement'!G6-'Income Statement'!G9)*Assumptions!C68</f>
        <v>0.47376</v>
      </c>
      <c r="D15" s="30">
        <f>('Income Statement'!H6-'Income Statement'!H9)*Assumptions!C68</f>
        <v>0.4998168</v>
      </c>
      <c r="E15" s="30">
        <f>('Income Statement'!I6-'Income Statement'!I9)*Assumptions!C68</f>
        <v>0.527306724</v>
      </c>
      <c r="F15" s="30">
        <f>('Income Statement'!J6-'Income Statement'!J9)*Assumptions!C68</f>
        <v>0.55630859382</v>
      </c>
      <c r="G15" s="30">
        <f>('Income Statement'!K6-'Income Statement'!K9)*Assumptions!C68</f>
        <v>0.5869055664801</v>
      </c>
      <c r="H15" s="30">
        <f>('Income Statement'!L6-'Income Statement'!L9)*Assumptions!C68</f>
        <v>0.619185372636505</v>
      </c>
    </row>
    <row r="16" spans="2:8" ht="15" customHeight="1">
      <c r="B16" s="16" t="s">
        <v>157</v>
      </c>
      <c r="C16" s="41">
        <f>'Sources &amp; Uses'!C14</f>
        <v>5</v>
      </c>
      <c r="D16" s="41">
        <f>'Cash Flow &amp; Debt Schedule'!C10</f>
        <v>4.16666666666667</v>
      </c>
      <c r="E16" s="41">
        <f>'Cash Flow &amp; Debt Schedule'!D10</f>
        <v>3.33333333333333</v>
      </c>
      <c r="F16" s="41">
        <f>'Cash Flow &amp; Debt Schedule'!E10</f>
        <v>2.5</v>
      </c>
      <c r="G16" s="41">
        <f>'Cash Flow &amp; Debt Schedule'!F10</f>
        <v>1.66666666666667</v>
      </c>
      <c r="H16" s="41">
        <f>'Cash Flow &amp; Debt Schedule'!G10</f>
        <v>0.833333333333333</v>
      </c>
    </row>
    <row r="17" spans="2:8" ht="15" customHeight="1">
      <c r="B17" s="16" t="s">
        <v>158</v>
      </c>
      <c r="C17" s="41">
        <f>'Sources &amp; Uses'!C15</f>
        <v>1.1</v>
      </c>
      <c r="D17" s="41">
        <f>'Cash Flow &amp; Debt Schedule'!C15</f>
        <v>1.1</v>
      </c>
      <c r="E17" s="41">
        <f>'Cash Flow &amp; Debt Schedule'!D15</f>
        <v>1.1</v>
      </c>
      <c r="F17" s="41">
        <f>'Cash Flow &amp; Debt Schedule'!E15</f>
        <v>1.1</v>
      </c>
      <c r="G17" s="41">
        <f>'Cash Flow &amp; Debt Schedule'!F15</f>
        <v>1.1</v>
      </c>
      <c r="H17" s="41">
        <f>'Cash Flow &amp; Debt Schedule'!G15</f>
        <v>1.1</v>
      </c>
    </row>
    <row r="18" spans="2:8" ht="15" customHeight="1">
      <c r="B18" s="13" t="s">
        <v>159</v>
      </c>
      <c r="C18" s="32">
        <f>SUM(C15:C17)</f>
        <v>6.57376</v>
      </c>
      <c r="D18" s="32">
        <f>SUM(D15:D17)</f>
        <v>5.76648346666667</v>
      </c>
      <c r="E18" s="32">
        <f>SUM(E15:E17)</f>
        <v>4.96064005733333</v>
      </c>
      <c r="F18" s="32">
        <f>SUM(F15:F17)</f>
        <v>4.15630859382</v>
      </c>
      <c r="G18" s="32">
        <f>SUM(G15:G17)</f>
        <v>3.35357223314677</v>
      </c>
      <c r="H18" s="32">
        <f>SUM(H15:H17)</f>
        <v>2.55251870596984</v>
      </c>
    </row>
    <row r="20" spans="2:8" ht="18" customHeight="1">
      <c r="B20" s="9" t="s">
        <v>160</v>
      </c>
      <c r="C20" s="9"/>
      <c r="D20" s="9"/>
      <c r="E20" s="9"/>
      <c r="F20" s="9"/>
      <c r="G20" s="9"/>
    </row>
    <row r="21" spans="2:8" ht="15" customHeight="1">
      <c r="B21" s="16" t="s">
        <v>161</v>
      </c>
      <c r="C21" s="41">
        <f>'Sources &amp; Uses'!C17</f>
        <v>4.06</v>
      </c>
      <c r="D21" s="41">
        <f>'Sources &amp; Uses'!C17</f>
        <v>4.06</v>
      </c>
      <c r="E21" s="41">
        <f>'Sources &amp; Uses'!C17</f>
        <v>4.06</v>
      </c>
      <c r="F21" s="41">
        <f>'Sources &amp; Uses'!C17</f>
        <v>4.06</v>
      </c>
      <c r="G21" s="41">
        <f>'Sources &amp; Uses'!C17</f>
        <v>4.06</v>
      </c>
      <c r="H21" s="41">
        <f>'Sources &amp; Uses'!C17</f>
        <v>4.06</v>
      </c>
    </row>
    <row r="22" spans="2:8" ht="15" customHeight="1">
      <c r="B22" s="16" t="s">
        <v>162</v>
      </c>
      <c r="C22" s="41">
        <f>'Sources &amp; Uses'!C16</f>
        <v>1.65</v>
      </c>
      <c r="D22" s="41">
        <f>'Sources &amp; Uses'!C16</f>
        <v>1.65</v>
      </c>
      <c r="E22" s="41">
        <f>'Sources &amp; Uses'!C16</f>
        <v>1.65</v>
      </c>
      <c r="F22" s="41">
        <f>'Sources &amp; Uses'!C16</f>
        <v>1.65</v>
      </c>
      <c r="G22" s="41">
        <f>'Sources &amp; Uses'!C16</f>
        <v>1.65</v>
      </c>
      <c r="H22" s="41">
        <f>'Sources &amp; Uses'!C16</f>
        <v>1.65</v>
      </c>
    </row>
    <row r="23" spans="2:8" ht="15" customHeight="1">
      <c r="B23" s="16" t="s">
        <v>163</v>
      </c>
      <c r="C23" s="28">
        <v>0</v>
      </c>
      <c r="D23" s="30">
        <f>C23+'Income Statement'!H18</f>
        <v>1.0785495</v>
      </c>
      <c r="E23" s="30">
        <f>D23+'Income Statement'!I18</f>
        <v>2.33201772875</v>
      </c>
      <c r="F23" s="30">
        <f>E23+'Income Statement'!J18</f>
        <v>3.76917528105</v>
      </c>
      <c r="G23" s="30">
        <f>F23+'Income Statement'!K18</f>
        <v>5.39939381766103</v>
      </c>
      <c r="H23" s="30">
        <f>G23+'Income Statement'!L18</f>
        <v>7.2326856515116</v>
      </c>
    </row>
    <row r="24" spans="2:8" ht="15" customHeight="1">
      <c r="B24" s="13" t="s">
        <v>164</v>
      </c>
      <c r="C24" s="32">
        <f>SUM(C21:C23)</f>
        <v>5.71</v>
      </c>
      <c r="D24" s="32">
        <f>SUM(D21:D23)</f>
        <v>6.7885495</v>
      </c>
      <c r="E24" s="32">
        <f>SUM(E21:E23)</f>
        <v>8.04201772875</v>
      </c>
      <c r="F24" s="32">
        <f>SUM(F21:F23)</f>
        <v>9.47917528105</v>
      </c>
      <c r="G24" s="32">
        <f>SUM(G21:G23)</f>
        <v>11.109393817661</v>
      </c>
      <c r="H24" s="32">
        <f>SUM(H21:H23)</f>
        <v>12.9426856515116</v>
      </c>
    </row>
    <row r="26" spans="2:8" ht="15" customHeight="1">
      <c r="B26" s="13" t="s">
        <v>165</v>
      </c>
      <c r="C26" s="52">
        <f>C18+C24</f>
        <v>12.28376</v>
      </c>
      <c r="D26" s="52">
        <f>D18+D24</f>
        <v>12.5550329666667</v>
      </c>
      <c r="E26" s="52">
        <f>E18+E24</f>
        <v>13.0026577860833</v>
      </c>
      <c r="F26" s="52">
        <f>F18+F24</f>
        <v>13.63548387487</v>
      </c>
      <c r="G26" s="52">
        <f>G18+G24</f>
        <v>14.4629660508078</v>
      </c>
      <c r="H26" s="52">
        <f>H18+H24</f>
        <v>15.4952043574814</v>
      </c>
    </row>
    <row r="27" spans="2:8" ht="15" customHeight="1">
      <c r="B27" s="16" t="s">
        <v>166</v>
      </c>
      <c r="C27" s="30">
        <f>C12-C26</f>
        <v>0</v>
      </c>
      <c r="D27" s="30">
        <f>D12-D26</f>
        <v>0</v>
      </c>
      <c r="E27" s="30">
        <f>E12-E26</f>
        <v>0</v>
      </c>
      <c r="F27" s="30">
        <f>F12-F26</f>
        <v>0</v>
      </c>
      <c r="G27" s="30">
        <f>G12-G26</f>
        <v>0</v>
      </c>
      <c r="H27" s="30">
        <f>H12-H26</f>
        <v>0</v>
      </c>
    </row>
    <row r="29" spans="2:8" ht="27.75" customHeight="1">
      <c r="B29" s="7"/>
      <c r="C29" s="7"/>
      <c r="D29" s="7"/>
      <c r="E29" s="7"/>
      <c r="F29" s="7"/>
      <c r="G29" s="7"/>
    </row>
  </sheetData>
  <mergeCells count="6">
    <mergeCell ref="B29:G29"/>
    <mergeCell ref="B2:H2"/>
    <mergeCell ref="B3:H3"/>
    <mergeCell ref="B6:G6"/>
    <mergeCell ref="B14:G14"/>
    <mergeCell ref="B20:G20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37"/>
  <sheetViews>
    <sheetView showGridLines="0" zoomScaleNormal="100" workbookViewId="0">
      <pane xSplit="2" ySplit="3" topLeftCell="C4" activePane="bottomRight" state="frozen"/>
      <selection pane="bottomRight" activeCell="C4" sqref="C4"/>
      <selection pane="bottomLeft" activeCell="A4" sqref="A4"/>
      <selection pane="topRight" activeCell="C1" sqref="C1"/>
    </sheetView>
  </sheetViews>
  <sheetFormatPr defaultColWidth="8.7109375" defaultRowHeight="15"/>
  <cols>
    <col min="1" max="1" width="3" style="12" customWidth="1"/>
    <col min="2" max="2" width="40" style="12" customWidth="1"/>
    <col min="3" max="7" width="13" style="12" customWidth="1"/>
    <col min="8" max="8" width="4" style="12" customWidth="1"/>
  </cols>
  <sheetData>
    <row r="1" spans="2:7" ht="15" customHeight="1">
      <c r="F1" s="17" t="s">
        <v>32</v>
      </c>
    </row>
    <row r="2" spans="2:7" ht="25.5" customHeight="1">
      <c r="B2" s="11" t="s">
        <v>167</v>
      </c>
      <c r="C2" s="11"/>
      <c r="D2" s="11"/>
      <c r="E2" s="11"/>
      <c r="F2" s="11"/>
      <c r="G2" s="11"/>
    </row>
    <row r="3" spans="2:7" ht="15.75" customHeight="1">
      <c r="B3" s="3" t="s">
        <v>168</v>
      </c>
      <c r="C3" s="3"/>
      <c r="D3" s="3"/>
      <c r="E3" s="3"/>
      <c r="F3" s="3"/>
      <c r="G3" s="3"/>
    </row>
    <row r="5" spans="2:7" ht="15" customHeight="1">
      <c r="B5" s="18" t="s">
        <v>125</v>
      </c>
      <c r="C5" s="19" t="s">
        <v>126</v>
      </c>
      <c r="D5" s="19" t="s">
        <v>127</v>
      </c>
      <c r="E5" s="19" t="s">
        <v>128</v>
      </c>
      <c r="F5" s="19" t="s">
        <v>129</v>
      </c>
      <c r="G5" s="19" t="s">
        <v>130</v>
      </c>
    </row>
    <row r="6" spans="2:7" ht="18" customHeight="1">
      <c r="B6" s="9" t="s">
        <v>169</v>
      </c>
      <c r="C6" s="9"/>
      <c r="D6" s="9"/>
      <c r="E6" s="9"/>
      <c r="F6" s="9"/>
      <c r="G6" s="9"/>
    </row>
    <row r="7" spans="2:7" ht="15" customHeight="1">
      <c r="B7" s="16" t="s">
        <v>170</v>
      </c>
      <c r="C7" s="41">
        <f>'Sources &amp; Uses'!C14</f>
        <v>5</v>
      </c>
      <c r="D7" s="30">
        <f>C10</f>
        <v>4.16666666666667</v>
      </c>
      <c r="E7" s="30">
        <f>D10</f>
        <v>3.33333333333333</v>
      </c>
      <c r="F7" s="30">
        <f>E10</f>
        <v>2.5</v>
      </c>
      <c r="G7" s="30">
        <f>F10</f>
        <v>1.66666666666667</v>
      </c>
    </row>
    <row r="8" spans="2:7" ht="15" customHeight="1">
      <c r="B8" s="16" t="s">
        <v>171</v>
      </c>
      <c r="C8" s="30">
        <f>-MIN(C7, $C$7/Assumptions!C75)</f>
        <v>-0.833333333333333</v>
      </c>
      <c r="D8" s="30">
        <f>-MIN(D7, $C$7/Assumptions!C75)</f>
        <v>-0.833333333333333</v>
      </c>
      <c r="E8" s="30">
        <f>-MIN(E7, $C$7/Assumptions!C75)</f>
        <v>-0.833333333333333</v>
      </c>
      <c r="F8" s="30">
        <f>-MIN(F7, $C$7/Assumptions!C75)</f>
        <v>-0.833333333333333</v>
      </c>
      <c r="G8" s="30">
        <f>-MIN(G7, $C$7/Assumptions!C75)</f>
        <v>-0.833333333333333</v>
      </c>
    </row>
    <row r="9" spans="2:7" ht="15" customHeight="1">
      <c r="B9" s="16" t="s">
        <v>140</v>
      </c>
      <c r="C9" s="30">
        <f>C7*Assumptions!C74</f>
        <v>0.4375</v>
      </c>
      <c r="D9" s="30">
        <f>D7*Assumptions!C74</f>
        <v>0.364583333333333</v>
      </c>
      <c r="E9" s="30">
        <f>E7*Assumptions!C74</f>
        <v>0.291666666666667</v>
      </c>
      <c r="F9" s="30">
        <f>F7*Assumptions!C74</f>
        <v>0.21875</v>
      </c>
      <c r="G9" s="30">
        <f>G7*Assumptions!C74</f>
        <v>0.145833333333333</v>
      </c>
    </row>
    <row r="10" spans="2:7" ht="15" customHeight="1">
      <c r="B10" s="13" t="s">
        <v>172</v>
      </c>
      <c r="C10" s="32">
        <f>C7+C8</f>
        <v>4.16666666666667</v>
      </c>
      <c r="D10" s="32">
        <f>D7+D8</f>
        <v>3.33333333333333</v>
      </c>
      <c r="E10" s="32">
        <f>E7+E8</f>
        <v>2.5</v>
      </c>
      <c r="F10" s="32">
        <f>F7+F8</f>
        <v>1.66666666666667</v>
      </c>
      <c r="G10" s="32">
        <f>G7+G8</f>
        <v>0.833333333333333</v>
      </c>
    </row>
    <row r="12" spans="2:7" ht="18" customHeight="1">
      <c r="B12" s="9" t="s">
        <v>173</v>
      </c>
      <c r="C12" s="9"/>
      <c r="D12" s="9"/>
      <c r="E12" s="9"/>
      <c r="F12" s="9"/>
      <c r="G12" s="9"/>
    </row>
    <row r="13" spans="2:7" ht="15" customHeight="1">
      <c r="B13" s="16" t="s">
        <v>170</v>
      </c>
      <c r="C13" s="41">
        <f>'Sources &amp; Uses'!C15</f>
        <v>1.1</v>
      </c>
      <c r="D13" s="30">
        <f>C15</f>
        <v>1.1</v>
      </c>
      <c r="E13" s="30">
        <f>D15</f>
        <v>1.1</v>
      </c>
      <c r="F13" s="30">
        <f>E15</f>
        <v>1.1</v>
      </c>
      <c r="G13" s="30">
        <f>F15</f>
        <v>1.1</v>
      </c>
    </row>
    <row r="14" spans="2:7" ht="15" customHeight="1">
      <c r="B14" s="16" t="s">
        <v>174</v>
      </c>
      <c r="C14" s="30">
        <f>C13*Assumptions!C76</f>
        <v>0.088</v>
      </c>
      <c r="D14" s="30">
        <f>D13*Assumptions!C76</f>
        <v>0.088</v>
      </c>
      <c r="E14" s="30">
        <f>E13*Assumptions!C76</f>
        <v>0.088</v>
      </c>
      <c r="F14" s="30">
        <f>F13*Assumptions!C76</f>
        <v>0.088</v>
      </c>
      <c r="G14" s="30">
        <f>G13*Assumptions!C76</f>
        <v>0.088</v>
      </c>
    </row>
    <row r="15" spans="2:7" ht="15" customHeight="1">
      <c r="B15" s="13" t="s">
        <v>175</v>
      </c>
      <c r="C15" s="32">
        <f>C13</f>
        <v>1.1</v>
      </c>
      <c r="D15" s="32">
        <f>D13</f>
        <v>1.1</v>
      </c>
      <c r="E15" s="32">
        <f>E13</f>
        <v>1.1</v>
      </c>
      <c r="F15" s="32">
        <f>F13</f>
        <v>1.1</v>
      </c>
      <c r="G15" s="32">
        <f>G13</f>
        <v>1.1</v>
      </c>
    </row>
    <row r="17" spans="2:7" ht="15" customHeight="1">
      <c r="B17" s="13" t="s">
        <v>176</v>
      </c>
      <c r="C17" s="53">
        <f>C9+C14</f>
        <v>0.5255</v>
      </c>
      <c r="D17" s="53">
        <f>D9+D14</f>
        <v>0.452583333333333</v>
      </c>
      <c r="E17" s="53">
        <f>E9+E14</f>
        <v>0.379666666666667</v>
      </c>
      <c r="F17" s="53">
        <f>F9+F14</f>
        <v>0.30675</v>
      </c>
      <c r="G17" s="53">
        <f>G9+G14</f>
        <v>0.233833333333333</v>
      </c>
    </row>
    <row r="19" spans="2:7" ht="18" customHeight="1">
      <c r="B19" s="9" t="s">
        <v>177</v>
      </c>
      <c r="C19" s="9"/>
      <c r="D19" s="9"/>
      <c r="E19" s="9"/>
      <c r="F19" s="9"/>
      <c r="G19" s="9"/>
    </row>
    <row r="20" spans="2:7" ht="15" customHeight="1">
      <c r="B20" s="16" t="s">
        <v>144</v>
      </c>
      <c r="C20" s="41">
        <f>'Income Statement'!H18</f>
        <v>1.0785495</v>
      </c>
      <c r="D20" s="41">
        <f>'Income Statement'!I18</f>
        <v>1.25346822875</v>
      </c>
      <c r="E20" s="41">
        <f>'Income Statement'!J18</f>
        <v>1.4371575523</v>
      </c>
      <c r="F20" s="41">
        <f>'Income Statement'!K18</f>
        <v>1.63021853661103</v>
      </c>
      <c r="G20" s="41">
        <f>'Income Statement'!L18</f>
        <v>1.83329183385057</v>
      </c>
    </row>
    <row r="21" spans="2:7" ht="15" customHeight="1">
      <c r="B21" s="16" t="s">
        <v>178</v>
      </c>
      <c r="C21" s="41">
        <f>'Income Statement'!H13</f>
        <v>0.29751</v>
      </c>
      <c r="D21" s="41">
        <f>'Income Statement'!I13</f>
        <v>0.31387305</v>
      </c>
      <c r="E21" s="41">
        <f>'Income Statement'!J13</f>
        <v>0.33113606775</v>
      </c>
      <c r="F21" s="41">
        <f>'Income Statement'!K13</f>
        <v>0.34934855147625</v>
      </c>
      <c r="G21" s="41">
        <f>'Income Statement'!L13</f>
        <v>0.368562721807444</v>
      </c>
    </row>
    <row r="22" spans="2:7" ht="15" customHeight="1">
      <c r="B22" s="16" t="s">
        <v>179</v>
      </c>
      <c r="C22" s="30">
        <f>-('Balance Sheet'!D8-'Balance Sheet'!C8)</f>
        <v>-0.0620400000000001</v>
      </c>
      <c r="D22" s="30">
        <f>-('Balance Sheet'!E8-'Balance Sheet'!D8)</f>
        <v>-0.0654522</v>
      </c>
      <c r="E22" s="30">
        <f>-('Balance Sheet'!F8-'Balance Sheet'!E8)</f>
        <v>-0.0690520709999998</v>
      </c>
      <c r="F22" s="30">
        <f>-('Balance Sheet'!G8-'Balance Sheet'!F8)</f>
        <v>-0.0728499349049998</v>
      </c>
      <c r="G22" s="30">
        <f>-('Balance Sheet'!H8-'Balance Sheet'!G8)</f>
        <v>-0.0768566813247751</v>
      </c>
    </row>
    <row r="23" spans="2:7" ht="15" customHeight="1">
      <c r="B23" s="16" t="s">
        <v>180</v>
      </c>
      <c r="C23" s="30">
        <f>-('Balance Sheet'!D9-'Balance Sheet'!C9)</f>
        <v>-0.0325709999999999</v>
      </c>
      <c r="D23" s="30">
        <f>-('Balance Sheet'!E9-'Balance Sheet'!D9)</f>
        <v>-0.034362405</v>
      </c>
      <c r="E23" s="30">
        <f>-('Balance Sheet'!F9-'Balance Sheet'!E9)</f>
        <v>-0.036252337275</v>
      </c>
      <c r="F23" s="30">
        <f>-('Balance Sheet'!G9-'Balance Sheet'!F9)</f>
        <v>-0.038246215825125</v>
      </c>
      <c r="G23" s="30">
        <f>-('Balance Sheet'!H9-'Balance Sheet'!G9)</f>
        <v>-0.0403497576955068</v>
      </c>
    </row>
    <row r="24" spans="2:7" ht="15" customHeight="1">
      <c r="B24" s="16" t="s">
        <v>181</v>
      </c>
      <c r="C24" s="30">
        <f>('Balance Sheet'!D15-'Balance Sheet'!C15)</f>
        <v>0.0260567999999999</v>
      </c>
      <c r="D24" s="30">
        <f>('Balance Sheet'!E15-'Balance Sheet'!D15)</f>
        <v>0.027489924</v>
      </c>
      <c r="E24" s="30">
        <f>('Balance Sheet'!F15-'Balance Sheet'!E15)</f>
        <v>0.0290018698199999</v>
      </c>
      <c r="F24" s="30">
        <f>('Balance Sheet'!G15-'Balance Sheet'!F15)</f>
        <v>0.0305969726601</v>
      </c>
      <c r="G24" s="30">
        <f>('Balance Sheet'!H15-'Balance Sheet'!G15)</f>
        <v>0.0322798061564056</v>
      </c>
    </row>
    <row r="25" spans="2:7" ht="15" customHeight="1">
      <c r="B25" s="13" t="s">
        <v>182</v>
      </c>
      <c r="C25" s="32">
        <f>SUM(C20:C24)</f>
        <v>1.3075053</v>
      </c>
      <c r="D25" s="32">
        <f>SUM(D20:D24)</f>
        <v>1.49501659775</v>
      </c>
      <c r="E25" s="32">
        <f>SUM(E20:E24)</f>
        <v>1.691991081595</v>
      </c>
      <c r="F25" s="32">
        <f>SUM(F20:F24)</f>
        <v>1.89906791001726</v>
      </c>
      <c r="G25" s="32">
        <f>SUM(G20:G24)</f>
        <v>2.11692792279414</v>
      </c>
    </row>
    <row r="27" spans="2:7" ht="15" customHeight="1">
      <c r="B27" s="16" t="s">
        <v>183</v>
      </c>
      <c r="C27" s="30">
        <f>-'Income Statement'!H6*Assumptions!C65</f>
        <v>-0.19834</v>
      </c>
      <c r="D27" s="30">
        <f>-'Income Statement'!I6*Assumptions!C65</f>
        <v>-0.2092487</v>
      </c>
      <c r="E27" s="30">
        <f>-'Income Statement'!J6*Assumptions!C65</f>
        <v>-0.2207573785</v>
      </c>
      <c r="F27" s="30">
        <f>-'Income Statement'!K6*Assumptions!C65</f>
        <v>-0.2328990343175</v>
      </c>
      <c r="G27" s="30">
        <f>-'Income Statement'!L6*Assumptions!C65</f>
        <v>-0.245708481204962</v>
      </c>
    </row>
    <row r="28" spans="2:7" ht="15" customHeight="1">
      <c r="B28" s="13" t="s">
        <v>184</v>
      </c>
      <c r="C28" s="32">
        <f>C27</f>
        <v>-0.19834</v>
      </c>
      <c r="D28" s="32">
        <f>D27</f>
        <v>-0.2092487</v>
      </c>
      <c r="E28" s="32">
        <f>E27</f>
        <v>-0.2207573785</v>
      </c>
      <c r="F28" s="32">
        <f>F27</f>
        <v>-0.2328990343175</v>
      </c>
      <c r="G28" s="32">
        <f>G27</f>
        <v>-0.245708481204962</v>
      </c>
    </row>
    <row r="30" spans="2:7" ht="15" customHeight="1">
      <c r="B30" s="16" t="s">
        <v>185</v>
      </c>
      <c r="C30" s="30">
        <f>C8</f>
        <v>-0.833333333333333</v>
      </c>
      <c r="D30" s="30">
        <f>D8</f>
        <v>-0.833333333333333</v>
      </c>
      <c r="E30" s="30">
        <f>E8</f>
        <v>-0.833333333333333</v>
      </c>
      <c r="F30" s="30">
        <f>F8</f>
        <v>-0.833333333333333</v>
      </c>
      <c r="G30" s="30">
        <f>G8</f>
        <v>-0.833333333333333</v>
      </c>
    </row>
    <row r="31" spans="2:7" ht="15" customHeight="1">
      <c r="B31" s="13" t="s">
        <v>186</v>
      </c>
      <c r="C31" s="32">
        <f>C30</f>
        <v>-0.833333333333333</v>
      </c>
      <c r="D31" s="32">
        <f>D30</f>
        <v>-0.833333333333333</v>
      </c>
      <c r="E31" s="32">
        <f>E30</f>
        <v>-0.833333333333333</v>
      </c>
      <c r="F31" s="32">
        <f>F30</f>
        <v>-0.833333333333333</v>
      </c>
      <c r="G31" s="32">
        <f>G30</f>
        <v>-0.833333333333333</v>
      </c>
    </row>
    <row r="33" spans="2:7" ht="15" customHeight="1">
      <c r="B33" s="13" t="s">
        <v>187</v>
      </c>
      <c r="C33" s="53">
        <f>C25+C28+C31</f>
        <v>0.275831966666667</v>
      </c>
      <c r="D33" s="53">
        <f>D25+D28+D31</f>
        <v>0.452434564416667</v>
      </c>
      <c r="E33" s="53">
        <f>E25+E28+E31</f>
        <v>0.637900369761666</v>
      </c>
      <c r="F33" s="53">
        <f>F25+F28+F31</f>
        <v>0.832835542366423</v>
      </c>
      <c r="G33" s="53">
        <f>G25+G28+G31</f>
        <v>1.03788610825584</v>
      </c>
    </row>
    <row r="34" spans="2:7" ht="15" customHeight="1">
      <c r="B34" s="16" t="s">
        <v>188</v>
      </c>
      <c r="C34" s="41">
        <f>Assumptions!C70</f>
        <v>0.3</v>
      </c>
      <c r="D34" s="30">
        <f>C35</f>
        <v>0.575831966666667</v>
      </c>
      <c r="E34" s="30">
        <f>D35</f>
        <v>1.02826653108333</v>
      </c>
      <c r="F34" s="30">
        <f>E35</f>
        <v>1.666166900845</v>
      </c>
      <c r="G34" s="30">
        <f>F35</f>
        <v>2.49900244321142</v>
      </c>
    </row>
    <row r="35" spans="2:7" ht="15" customHeight="1">
      <c r="B35" s="13" t="s">
        <v>189</v>
      </c>
      <c r="C35" s="52">
        <f>C34+C33</f>
        <v>0.575831966666667</v>
      </c>
      <c r="D35" s="52">
        <f>D34+D33</f>
        <v>1.02826653108333</v>
      </c>
      <c r="E35" s="52">
        <f>E34+E33</f>
        <v>1.666166900845</v>
      </c>
      <c r="F35" s="52">
        <f>F34+F33</f>
        <v>2.49900244321142</v>
      </c>
      <c r="G35" s="52">
        <f>G34+G33</f>
        <v>3.53688855146726</v>
      </c>
    </row>
    <row r="37" spans="2:7" ht="18.75" customHeight="1">
      <c r="B37" s="7"/>
      <c r="C37" s="7"/>
      <c r="D37" s="7"/>
      <c r="E37" s="7"/>
      <c r="F37" s="7"/>
      <c r="G37" s="7"/>
    </row>
  </sheetData>
  <mergeCells count="6">
    <mergeCell ref="B37:G37"/>
    <mergeCell ref="B2:G2"/>
    <mergeCell ref="B3:G3"/>
    <mergeCell ref="B6:G6"/>
    <mergeCell ref="B12:G12"/>
    <mergeCell ref="B19:G19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23"/>
  <sheetViews>
    <sheetView showGridLines="0" zoomScaleNormal="100"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ColWidth="8.7109375" defaultRowHeight="15"/>
  <cols>
    <col min="1" max="1" width="3" style="12" customWidth="1"/>
    <col min="2" max="2" width="40" style="12" customWidth="1"/>
    <col min="3" max="3" width="18" style="12" customWidth="1"/>
    <col min="4" max="4" width="20" style="12" customWidth="1"/>
    <col min="5" max="6" width="16" style="12" customWidth="1"/>
    <col min="7" max="7" width="4" style="12" customWidth="1"/>
  </cols>
  <sheetData>
    <row r="1" spans="2:6" ht="15" customHeight="1">
      <c r="F1" s="17" t="s">
        <v>32</v>
      </c>
    </row>
    <row r="2" spans="2:6" ht="25.5" customHeight="1">
      <c r="B2" s="11" t="s">
        <v>190</v>
      </c>
      <c r="C2" s="11"/>
      <c r="D2" s="11"/>
      <c r="E2" s="11"/>
      <c r="F2" s="11"/>
    </row>
    <row r="3" spans="2:6" ht="15.75" customHeight="1">
      <c r="B3" s="3" t="s">
        <v>191</v>
      </c>
      <c r="C3" s="3"/>
      <c r="D3" s="3"/>
      <c r="E3" s="3"/>
      <c r="F3" s="3"/>
    </row>
    <row r="5" spans="2:6" ht="18" customHeight="1">
      <c r="B5" s="9" t="s">
        <v>192</v>
      </c>
      <c r="C5" s="9"/>
      <c r="D5" s="9"/>
      <c r="E5" s="9"/>
    </row>
    <row r="6" spans="2:6" ht="15" customHeight="1">
      <c r="B6" s="13" t="s">
        <v>85</v>
      </c>
      <c r="C6" s="54">
        <f>Assumptions!C46</f>
        <v>2</v>
      </c>
    </row>
    <row r="7" spans="2:6" ht="15" customHeight="1">
      <c r="B7" s="13" t="s">
        <v>193</v>
      </c>
      <c r="C7" s="55">
        <f>Assumptions!C51</f>
        <v>5.5</v>
      </c>
    </row>
    <row r="8" spans="2:6" ht="15" customHeight="1">
      <c r="B8" s="13" t="s">
        <v>194</v>
      </c>
      <c r="C8" s="53">
        <f>C6*C7</f>
        <v>11</v>
      </c>
    </row>
    <row r="9" spans="2:6" ht="15" customHeight="1">
      <c r="B9" s="16" t="s">
        <v>195</v>
      </c>
      <c r="C9" s="56">
        <f>C8/Assumptions!C35</f>
        <v>1.17021276595745</v>
      </c>
    </row>
    <row r="11" spans="2:6" ht="18" customHeight="1">
      <c r="B11" s="9" t="s">
        <v>196</v>
      </c>
      <c r="C11" s="9"/>
      <c r="D11" s="9"/>
      <c r="E11" s="9"/>
    </row>
    <row r="12" spans="2:6" ht="15" customHeight="1">
      <c r="B12" s="18" t="s">
        <v>197</v>
      </c>
      <c r="C12" s="19" t="s">
        <v>198</v>
      </c>
      <c r="D12" s="19" t="s">
        <v>199</v>
      </c>
      <c r="E12" s="18"/>
      <c r="F12" s="18"/>
    </row>
    <row r="13" spans="2:6" ht="15" customHeight="1">
      <c r="B13" s="20" t="s">
        <v>53</v>
      </c>
      <c r="C13" s="35">
        <f>Assumptions!C52</f>
        <v>4.5</v>
      </c>
      <c r="D13" s="30">
        <f>Assumptions!C46*Assumptions!C52</f>
        <v>9</v>
      </c>
    </row>
    <row r="14" spans="2:6" ht="15" customHeight="1">
      <c r="B14" s="57" t="s">
        <v>200</v>
      </c>
      <c r="C14" s="58">
        <f>C7</f>
        <v>5.5</v>
      </c>
      <c r="D14" s="59">
        <f>C8</f>
        <v>11</v>
      </c>
    </row>
    <row r="15" spans="2:6" ht="15" customHeight="1">
      <c r="B15" s="20" t="s">
        <v>51</v>
      </c>
      <c r="C15" s="35">
        <f>Assumptions!C53</f>
        <v>6.5</v>
      </c>
      <c r="D15" s="30">
        <f>Assumptions!C46*Assumptions!C53</f>
        <v>13</v>
      </c>
    </row>
    <row r="16" spans="2:6" ht="15" customHeight="1">
      <c r="B16" s="16" t="s">
        <v>201</v>
      </c>
      <c r="D16" s="2" t="s">
        <v>202</v>
      </c>
      <c r="E16" s="2"/>
    </row>
    <row r="18" spans="2:5" ht="18" customHeight="1">
      <c r="B18" s="9" t="s">
        <v>203</v>
      </c>
      <c r="C18" s="9"/>
      <c r="D18" s="9"/>
      <c r="E18" s="9"/>
    </row>
    <row r="19" spans="2:5" ht="15" customHeight="1">
      <c r="B19" s="16" t="s">
        <v>194</v>
      </c>
      <c r="C19" s="30">
        <f>C8</f>
        <v>11</v>
      </c>
    </row>
    <row r="20" spans="2:5" ht="15" customHeight="1">
      <c r="B20" s="16" t="s">
        <v>204</v>
      </c>
      <c r="C20" s="30">
        <f>-Assumptions!C54</f>
        <v>0</v>
      </c>
    </row>
    <row r="21" spans="2:5" ht="15" customHeight="1">
      <c r="B21" s="13" t="s">
        <v>205</v>
      </c>
      <c r="C21" s="53">
        <f>C19+C20</f>
        <v>11</v>
      </c>
    </row>
    <row r="23" spans="2:5" ht="18.75" customHeight="1">
      <c r="B23" s="7"/>
      <c r="C23" s="7"/>
      <c r="D23" s="7"/>
      <c r="E23" s="7"/>
    </row>
  </sheetData>
  <mergeCells count="7">
    <mergeCell ref="B18:E18"/>
    <mergeCell ref="B23:E23"/>
    <mergeCell ref="B2:F2"/>
    <mergeCell ref="B3:F3"/>
    <mergeCell ref="B5:E5"/>
    <mergeCell ref="B11:E11"/>
    <mergeCell ref="D16:E16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27"/>
  <sheetViews>
    <sheetView showGridLines="0" zoomScaleNormal="100"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ColWidth="8.7109375" defaultRowHeight="15"/>
  <cols>
    <col min="1" max="1" width="3" style="12" customWidth="1"/>
    <col min="2" max="2" width="40" style="12" customWidth="1"/>
    <col min="3" max="3" width="16" style="12" customWidth="1"/>
    <col min="4" max="4" width="14" style="12" customWidth="1"/>
    <col min="5" max="6" width="16" style="12" customWidth="1"/>
    <col min="7" max="7" width="4" style="12" customWidth="1"/>
  </cols>
  <sheetData>
    <row r="1" spans="2:6" ht="15" customHeight="1">
      <c r="F1" s="17" t="s">
        <v>32</v>
      </c>
    </row>
    <row r="2" spans="2:6" ht="25.5" customHeight="1">
      <c r="B2" s="11" t="s">
        <v>206</v>
      </c>
      <c r="C2" s="11"/>
      <c r="D2" s="11"/>
      <c r="E2" s="11"/>
      <c r="F2" s="11"/>
    </row>
    <row r="3" spans="2:6" ht="15.75" customHeight="1">
      <c r="B3" s="3" t="s">
        <v>207</v>
      </c>
      <c r="C3" s="3"/>
      <c r="D3" s="3"/>
      <c r="E3" s="3"/>
      <c r="F3" s="3"/>
    </row>
    <row r="5" spans="2:6" ht="18" customHeight="1">
      <c r="B5" s="9" t="s">
        <v>208</v>
      </c>
      <c r="C5" s="9"/>
      <c r="D5" s="9"/>
      <c r="E5" s="9"/>
    </row>
    <row r="6" spans="2:6" ht="15" customHeight="1">
      <c r="B6" s="18" t="s">
        <v>209</v>
      </c>
      <c r="C6" s="19" t="s">
        <v>210</v>
      </c>
      <c r="D6" s="19" t="s">
        <v>211</v>
      </c>
      <c r="E6" s="18"/>
      <c r="F6" s="18"/>
    </row>
    <row r="7" spans="2:6" ht="15" customHeight="1">
      <c r="B7" s="20" t="s">
        <v>212</v>
      </c>
      <c r="C7" s="41">
        <f>Valuation!C8</f>
        <v>11</v>
      </c>
      <c r="D7" s="29">
        <f>C7/C10</f>
        <v>0.931414055884843</v>
      </c>
    </row>
    <row r="8" spans="2:6" ht="15" customHeight="1">
      <c r="B8" s="20" t="s">
        <v>213</v>
      </c>
      <c r="C8" s="41">
        <f>'Advisor Fee'!C18</f>
        <v>0.7</v>
      </c>
      <c r="D8" s="29">
        <f>C8/C10</f>
        <v>0.0592718035563082</v>
      </c>
    </row>
    <row r="9" spans="2:6" ht="15" customHeight="1">
      <c r="B9" s="20" t="s">
        <v>214</v>
      </c>
      <c r="C9" s="30">
        <f>Assumptions!C60*C7</f>
        <v>0.11</v>
      </c>
      <c r="D9" s="29">
        <f>C9/C10</f>
        <v>0.00931414055884843</v>
      </c>
    </row>
    <row r="10" spans="2:6" ht="15" customHeight="1">
      <c r="B10" s="60" t="s">
        <v>215</v>
      </c>
      <c r="C10" s="53">
        <f>SUM(C7:C9)</f>
        <v>11.81</v>
      </c>
    </row>
    <row r="12" spans="2:6" ht="18" customHeight="1">
      <c r="B12" s="9" t="s">
        <v>216</v>
      </c>
      <c r="C12" s="9"/>
      <c r="D12" s="9"/>
      <c r="E12" s="9"/>
    </row>
    <row r="13" spans="2:6" ht="15" customHeight="1">
      <c r="B13" s="18" t="s">
        <v>217</v>
      </c>
      <c r="C13" s="19" t="s">
        <v>210</v>
      </c>
      <c r="D13" s="19" t="s">
        <v>211</v>
      </c>
      <c r="E13" s="18"/>
      <c r="F13" s="18"/>
    </row>
    <row r="14" spans="2:6" ht="15" customHeight="1">
      <c r="B14" s="20" t="s">
        <v>157</v>
      </c>
      <c r="C14" s="41">
        <f>Assumptions!C57*Assumptions!C46</f>
        <v>5</v>
      </c>
      <c r="D14" s="29">
        <f>C14/C18</f>
        <v>0.423370025402202</v>
      </c>
    </row>
    <row r="15" spans="2:6" ht="15" customHeight="1">
      <c r="B15" s="20" t="s">
        <v>158</v>
      </c>
      <c r="C15" s="41">
        <f>Assumptions!C58*C7</f>
        <v>1.1</v>
      </c>
      <c r="D15" s="29">
        <f>C15/C18</f>
        <v>0.0931414055884843</v>
      </c>
    </row>
    <row r="16" spans="2:6" ht="15" customHeight="1">
      <c r="B16" s="20" t="s">
        <v>162</v>
      </c>
      <c r="C16" s="41">
        <f>Assumptions!C59*C7</f>
        <v>1.65</v>
      </c>
      <c r="D16" s="29">
        <f>C16/C18</f>
        <v>0.139712108382727</v>
      </c>
    </row>
    <row r="17" spans="2:5" ht="15" customHeight="1">
      <c r="B17" s="20" t="s">
        <v>218</v>
      </c>
      <c r="C17" s="30">
        <f>C10-C14-C15-C16</f>
        <v>4.06</v>
      </c>
      <c r="D17" s="29">
        <f>C17/C18</f>
        <v>0.343776460626588</v>
      </c>
    </row>
    <row r="18" spans="2:5" ht="15" customHeight="1">
      <c r="B18" s="60" t="s">
        <v>219</v>
      </c>
      <c r="C18" s="53">
        <f>SUM(C14:C17)</f>
        <v>11.81</v>
      </c>
    </row>
    <row r="20" spans="2:5" ht="15" customHeight="1">
      <c r="B20" s="16" t="s">
        <v>220</v>
      </c>
      <c r="C20" s="30">
        <f>C18-C10</f>
        <v>0</v>
      </c>
    </row>
    <row r="22" spans="2:5" ht="18" customHeight="1">
      <c r="B22" s="9" t="s">
        <v>221</v>
      </c>
      <c r="C22" s="9"/>
      <c r="D22" s="9"/>
      <c r="E22" s="9"/>
    </row>
    <row r="23" spans="2:5" ht="15" customHeight="1">
      <c r="B23" s="16" t="s">
        <v>222</v>
      </c>
      <c r="C23" s="56">
        <f>C14/Assumptions!C46</f>
        <v>2.5</v>
      </c>
    </row>
    <row r="24" spans="2:5" ht="15" customHeight="1">
      <c r="B24" s="16" t="s">
        <v>223</v>
      </c>
      <c r="C24" s="29">
        <f>C17/C18</f>
        <v>0.343776460626588</v>
      </c>
    </row>
    <row r="25" spans="2:5" ht="15" customHeight="1">
      <c r="B25" s="16" t="s">
        <v>224</v>
      </c>
      <c r="C25" s="29">
        <f>(C15+C16)/C7</f>
        <v>0.25</v>
      </c>
    </row>
    <row r="27" spans="2:5" ht="18.75" customHeight="1">
      <c r="B27" s="7"/>
      <c r="C27" s="7"/>
      <c r="D27" s="7"/>
      <c r="E27" s="7"/>
    </row>
  </sheetData>
  <mergeCells count="6">
    <mergeCell ref="B27:E27"/>
    <mergeCell ref="B2:F2"/>
    <mergeCell ref="B3:F3"/>
    <mergeCell ref="B5:E5"/>
    <mergeCell ref="B12:E12"/>
    <mergeCell ref="B22:E22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22"/>
  <sheetViews>
    <sheetView showGridLines="0" zoomScaleNormal="100"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ColWidth="8.7109375" defaultRowHeight="15"/>
  <cols>
    <col min="1" max="1" width="3" style="12" customWidth="1"/>
    <col min="2" max="2" width="53.42578125" style="12" bestFit="1" customWidth="1"/>
    <col min="3" max="5" width="13" style="12" customWidth="1"/>
    <col min="6" max="6" width="19" style="12" customWidth="1"/>
    <col min="7" max="7" width="15" style="12" customWidth="1"/>
    <col min="8" max="8" width="4" style="12" customWidth="1"/>
  </cols>
  <sheetData>
    <row r="1" spans="2:7" ht="15" customHeight="1">
      <c r="F1" s="17" t="s">
        <v>32</v>
      </c>
    </row>
    <row r="2" spans="2:7" ht="25.5" customHeight="1">
      <c r="B2" s="11" t="s">
        <v>225</v>
      </c>
      <c r="C2" s="11"/>
      <c r="D2" s="11"/>
      <c r="E2" s="11"/>
      <c r="F2" s="11"/>
      <c r="G2" s="11"/>
    </row>
    <row r="3" spans="2:7" ht="15.75" customHeight="1">
      <c r="B3" s="3" t="s">
        <v>226</v>
      </c>
      <c r="C3" s="3"/>
      <c r="D3" s="3"/>
      <c r="E3" s="3"/>
      <c r="F3" s="3"/>
      <c r="G3" s="3"/>
    </row>
    <row r="5" spans="2:7" ht="15" customHeight="1">
      <c r="B5" s="13" t="s">
        <v>227</v>
      </c>
      <c r="C5" s="61">
        <f>Valuation!C8</f>
        <v>11</v>
      </c>
    </row>
    <row r="7" spans="2:7" ht="18" customHeight="1">
      <c r="B7" s="9" t="s">
        <v>228</v>
      </c>
      <c r="C7" s="9"/>
      <c r="D7" s="9"/>
      <c r="E7" s="9"/>
      <c r="F7" s="9"/>
      <c r="G7" s="9"/>
    </row>
    <row r="8" spans="2:7" ht="15" customHeight="1">
      <c r="B8" s="18" t="s">
        <v>112</v>
      </c>
      <c r="C8" s="19" t="s">
        <v>113</v>
      </c>
      <c r="D8" s="19" t="s">
        <v>114</v>
      </c>
      <c r="E8" s="19" t="s">
        <v>229</v>
      </c>
      <c r="F8" s="19" t="s">
        <v>230</v>
      </c>
      <c r="G8" s="19" t="s">
        <v>231</v>
      </c>
    </row>
    <row r="9" spans="2:7" ht="15" customHeight="1">
      <c r="B9" s="62" t="str">
        <f>Assumptions!B81</f>
        <v>Tier 1</v>
      </c>
      <c r="C9" s="63">
        <f>Assumptions!C81</f>
        <v>0</v>
      </c>
      <c r="D9" s="63">
        <f>Assumptions!D81</f>
        <v>5</v>
      </c>
      <c r="E9" s="44">
        <f>Assumptions!E81</f>
        <v>0.07</v>
      </c>
      <c r="F9" s="30">
        <f>MIN(MAX(C5-C9,0),D9-C9)</f>
        <v>5</v>
      </c>
      <c r="G9" s="30">
        <f>F9*E9</f>
        <v>0.35</v>
      </c>
    </row>
    <row r="10" spans="2:7" ht="15" customHeight="1">
      <c r="B10" s="62" t="str">
        <f>Assumptions!B82</f>
        <v>Tier 2</v>
      </c>
      <c r="C10" s="63">
        <f>Assumptions!C82</f>
        <v>5</v>
      </c>
      <c r="D10" s="63">
        <f>Assumptions!D82</f>
        <v>10</v>
      </c>
      <c r="E10" s="44">
        <f>Assumptions!E82</f>
        <v>0.06</v>
      </c>
      <c r="F10" s="30">
        <f>MIN(MAX(C5-C10,0),D10-C10)</f>
        <v>5</v>
      </c>
      <c r="G10" s="30">
        <f>F10*E10</f>
        <v>0.3</v>
      </c>
    </row>
    <row r="11" spans="2:7" ht="15" customHeight="1">
      <c r="B11" s="62" t="str">
        <f>Assumptions!B83</f>
        <v>Tier 3</v>
      </c>
      <c r="C11" s="63">
        <f>Assumptions!C83</f>
        <v>10</v>
      </c>
      <c r="D11" s="63">
        <f>Assumptions!D83</f>
        <v>15</v>
      </c>
      <c r="E11" s="44">
        <f>Assumptions!E83</f>
        <v>0.05</v>
      </c>
      <c r="F11" s="30">
        <f>MIN(MAX(C5-C11,0),D11-C11)</f>
        <v>1</v>
      </c>
      <c r="G11" s="30">
        <f>F11*E11</f>
        <v>0.05</v>
      </c>
    </row>
    <row r="12" spans="2:7" ht="15" customHeight="1">
      <c r="B12" s="62" t="str">
        <f>Assumptions!B84</f>
        <v>Tier 4</v>
      </c>
      <c r="C12" s="63">
        <f>Assumptions!C84</f>
        <v>15</v>
      </c>
      <c r="D12" s="63">
        <f>Assumptions!D84</f>
        <v>20</v>
      </c>
      <c r="E12" s="44">
        <f>Assumptions!E84</f>
        <v>0.04</v>
      </c>
      <c r="F12" s="30">
        <f>MIN(MAX(C5-C12,0),D12-C12)</f>
        <v>0</v>
      </c>
      <c r="G12" s="30">
        <f>F12*E12</f>
        <v>0</v>
      </c>
    </row>
    <row r="13" spans="2:7" ht="15" customHeight="1">
      <c r="B13" s="62" t="str">
        <f>Assumptions!B85</f>
        <v>Tier 5 (&gt; $20.0M)</v>
      </c>
      <c r="C13" s="63">
        <f>Assumptions!C85</f>
        <v>20</v>
      </c>
      <c r="D13" s="64">
        <f>Assumptions!D85</f>
        <v>9999</v>
      </c>
      <c r="E13" s="44">
        <f>Assumptions!E85</f>
        <v>0.03</v>
      </c>
      <c r="F13" s="30">
        <f>MIN(MAX(C5-C13,0),D13-C13)</f>
        <v>0</v>
      </c>
      <c r="G13" s="30">
        <f>F13*E13</f>
        <v>0</v>
      </c>
    </row>
    <row r="14" spans="2:7" ht="15" customHeight="1">
      <c r="B14" s="1" t="s">
        <v>232</v>
      </c>
      <c r="C14" s="1"/>
      <c r="D14" s="1"/>
      <c r="E14" s="1"/>
      <c r="F14" s="32">
        <f>SUM(F9:F13)</f>
        <v>13</v>
      </c>
      <c r="G14" s="53">
        <f>SUM(G9:G13)</f>
        <v>0.7</v>
      </c>
    </row>
    <row r="16" spans="2:7" ht="18" customHeight="1">
      <c r="B16" s="9" t="s">
        <v>233</v>
      </c>
      <c r="C16" s="9"/>
      <c r="D16" s="9"/>
      <c r="E16" s="9"/>
      <c r="F16" s="9"/>
      <c r="G16" s="9"/>
    </row>
    <row r="17" spans="2:7" ht="15" customHeight="1">
      <c r="B17" s="16" t="s">
        <v>234</v>
      </c>
      <c r="C17" s="41">
        <f>Assumptions!C86</f>
        <v>0.25</v>
      </c>
    </row>
    <row r="18" spans="2:7" ht="15" customHeight="1">
      <c r="B18" s="13" t="s">
        <v>235</v>
      </c>
      <c r="C18" s="53">
        <f>MAX(G14,C17)</f>
        <v>0.7</v>
      </c>
    </row>
    <row r="19" spans="2:7" ht="15" customHeight="1">
      <c r="B19" s="16" t="s">
        <v>236</v>
      </c>
      <c r="C19" s="65">
        <f>C18/C5</f>
        <v>0.0636363636363636</v>
      </c>
    </row>
    <row r="20" spans="2:7" ht="15" customHeight="1">
      <c r="B20" s="16" t="s">
        <v>237</v>
      </c>
      <c r="C20" s="66">
        <f>C18*1000000</f>
        <v>700000</v>
      </c>
    </row>
    <row r="22" spans="2:7" ht="27.75" customHeight="1">
      <c r="B22" s="7"/>
      <c r="C22" s="7"/>
      <c r="D22" s="7"/>
      <c r="E22" s="7"/>
      <c r="F22" s="7"/>
      <c r="G22" s="7"/>
    </row>
  </sheetData>
  <mergeCells count="6">
    <mergeCell ref="B22:G22"/>
    <mergeCell ref="B2:G2"/>
    <mergeCell ref="B3:G3"/>
    <mergeCell ref="B7:G7"/>
    <mergeCell ref="B14:E14"/>
    <mergeCell ref="B16:G16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P25"/>
  <sheetViews>
    <sheetView showGridLines="0" zoomScaleNormal="100" workbookViewId="0">
      <pane xSplit="2" ySplit="3" topLeftCell="C4" activePane="bottomRight" state="frozen"/>
      <selection pane="bottomRight" activeCell="C4" sqref="C4"/>
      <selection pane="bottomLeft" activeCell="A4" sqref="A4"/>
      <selection pane="topRight" activeCell="C1" sqref="C1"/>
    </sheetView>
  </sheetViews>
  <sheetFormatPr defaultColWidth="8.7109375" defaultRowHeight="15"/>
  <cols>
    <col min="1" max="1" width="3" style="12" customWidth="1"/>
    <col min="2" max="2" width="18" style="12" customWidth="1"/>
    <col min="3" max="3" width="15" style="12" customWidth="1"/>
    <col min="4" max="4" width="18" style="12" customWidth="1"/>
    <col min="5" max="7" width="15" style="12" customWidth="1"/>
    <col min="8" max="8" width="3" style="12" customWidth="1"/>
    <col min="9" max="9" width="2" style="12" customWidth="1"/>
    <col min="10" max="14" width="11" style="12" customWidth="1"/>
    <col min="15" max="15" width="13" style="12" customWidth="1"/>
    <col min="16" max="16" width="17" style="12" customWidth="1"/>
  </cols>
  <sheetData>
    <row r="1" spans="2:16" ht="15" customHeight="1">
      <c r="F1" s="17" t="s">
        <v>32</v>
      </c>
    </row>
    <row r="2" spans="2:16" ht="25.5" customHeight="1">
      <c r="B2" s="11" t="s">
        <v>238</v>
      </c>
      <c r="C2" s="11"/>
      <c r="D2" s="11"/>
      <c r="E2" s="11"/>
      <c r="F2" s="11"/>
      <c r="G2" s="11"/>
    </row>
    <row r="3" spans="2:16" ht="15.75" customHeight="1">
      <c r="B3" s="3" t="s">
        <v>239</v>
      </c>
      <c r="C3" s="3"/>
      <c r="D3" s="3"/>
      <c r="E3" s="3"/>
      <c r="F3" s="3"/>
      <c r="G3" s="3"/>
    </row>
    <row r="5" spans="2:16" ht="18" customHeight="1">
      <c r="B5" s="9" t="s">
        <v>240</v>
      </c>
      <c r="C5" s="9"/>
      <c r="D5" s="9"/>
      <c r="E5" s="9"/>
      <c r="F5" s="9"/>
      <c r="G5" s="9"/>
      <c r="J5" s="67" t="s">
        <v>241</v>
      </c>
    </row>
    <row r="6" spans="2:16" ht="15" customHeight="1">
      <c r="B6" s="19" t="s">
        <v>242</v>
      </c>
      <c r="C6" s="19" t="s">
        <v>243</v>
      </c>
      <c r="D6" s="19" t="s">
        <v>199</v>
      </c>
      <c r="E6" s="19" t="s">
        <v>244</v>
      </c>
      <c r="F6" s="19" t="s">
        <v>245</v>
      </c>
      <c r="G6" s="19" t="s">
        <v>246</v>
      </c>
      <c r="H6" s="18"/>
      <c r="J6" s="19" t="s">
        <v>247</v>
      </c>
      <c r="K6" s="19" t="s">
        <v>248</v>
      </c>
      <c r="L6" s="19" t="s">
        <v>249</v>
      </c>
      <c r="M6" s="19" t="s">
        <v>250</v>
      </c>
      <c r="N6" s="19" t="s">
        <v>251</v>
      </c>
      <c r="O6" s="19" t="s">
        <v>252</v>
      </c>
      <c r="P6" s="19" t="s">
        <v>253</v>
      </c>
    </row>
    <row r="7" spans="2:16" ht="15" customHeight="1">
      <c r="B7" s="23">
        <v>4.5</v>
      </c>
      <c r="C7" s="41">
        <f>Assumptions!C46</f>
        <v>2</v>
      </c>
      <c r="D7" s="30">
        <f>B7*C7</f>
        <v>9</v>
      </c>
      <c r="E7" s="30">
        <f>P7</f>
        <v>0.59</v>
      </c>
      <c r="F7" s="65">
        <f>E7/D7</f>
        <v>0.0655555555555556</v>
      </c>
      <c r="G7" s="30">
        <f>D7-Assumptions!C54</f>
        <v>9</v>
      </c>
      <c r="J7" s="30">
        <f>MIN(MAX($D7-Assumptions!$C$81,0),Assumptions!$D$81-Assumptions!$C$81)*Assumptions!$E$81</f>
        <v>0.35</v>
      </c>
      <c r="K7" s="30">
        <f>MIN(MAX($D7-Assumptions!$C$82,0),Assumptions!$D$82-Assumptions!$C$82)*Assumptions!$E$82</f>
        <v>0.24</v>
      </c>
      <c r="L7" s="30">
        <f>MIN(MAX($D7-Assumptions!$C$83,0),Assumptions!$D$83-Assumptions!$C$83)*Assumptions!$E$83</f>
        <v>0</v>
      </c>
      <c r="M7" s="30">
        <f>MIN(MAX($D7-Assumptions!$C$84,0),Assumptions!$D$84-Assumptions!$C$84)*Assumptions!$E$84</f>
        <v>0</v>
      </c>
      <c r="N7" s="30">
        <f>MIN(MAX($D7-Assumptions!$C$85,0),Assumptions!$D$85-Assumptions!$C$85)*Assumptions!$E$85</f>
        <v>0</v>
      </c>
      <c r="O7" s="30">
        <f>SUM(J7:N7)</f>
        <v>0.59</v>
      </c>
      <c r="P7" s="46">
        <f>MAX(O7,Assumptions!C86)</f>
        <v>0.59</v>
      </c>
    </row>
    <row r="8" spans="2:16" ht="15" customHeight="1">
      <c r="B8" s="23">
        <v>4.75</v>
      </c>
      <c r="C8" s="41">
        <f>Assumptions!C46</f>
        <v>2</v>
      </c>
      <c r="D8" s="30">
        <f>B8*C8</f>
        <v>9.5</v>
      </c>
      <c r="E8" s="30">
        <f>P8</f>
        <v>0.62</v>
      </c>
      <c r="F8" s="65">
        <f>E8/D8</f>
        <v>0.0652631578947369</v>
      </c>
      <c r="G8" s="30">
        <f>D8-Assumptions!C54</f>
        <v>9.5</v>
      </c>
      <c r="J8" s="30">
        <f>MIN(MAX($D8-Assumptions!$C$81,0),Assumptions!$D$81-Assumptions!$C$81)*Assumptions!$E$81</f>
        <v>0.35</v>
      </c>
      <c r="K8" s="30">
        <f>MIN(MAX($D8-Assumptions!$C$82,0),Assumptions!$D$82-Assumptions!$C$82)*Assumptions!$E$82</f>
        <v>0.27</v>
      </c>
      <c r="L8" s="30">
        <f>MIN(MAX($D8-Assumptions!$C$83,0),Assumptions!$D$83-Assumptions!$C$83)*Assumptions!$E$83</f>
        <v>0</v>
      </c>
      <c r="M8" s="30">
        <f>MIN(MAX($D8-Assumptions!$C$84,0),Assumptions!$D$84-Assumptions!$C$84)*Assumptions!$E$84</f>
        <v>0</v>
      </c>
      <c r="N8" s="30">
        <f>MIN(MAX($D8-Assumptions!$C$85,0),Assumptions!$D$85-Assumptions!$C$85)*Assumptions!$E$85</f>
        <v>0</v>
      </c>
      <c r="O8" s="30">
        <f>SUM(J8:N8)</f>
        <v>0.62</v>
      </c>
      <c r="P8" s="46">
        <f>MAX(O8,Assumptions!C86)</f>
        <v>0.62</v>
      </c>
    </row>
    <row r="9" spans="2:16" ht="15" customHeight="1">
      <c r="B9" s="23">
        <v>5</v>
      </c>
      <c r="C9" s="41">
        <f>Assumptions!C46</f>
        <v>2</v>
      </c>
      <c r="D9" s="30">
        <f>B9*C9</f>
        <v>10</v>
      </c>
      <c r="E9" s="30">
        <f>P9</f>
        <v>0.65</v>
      </c>
      <c r="F9" s="65">
        <f>E9/D9</f>
        <v>0.065</v>
      </c>
      <c r="G9" s="30">
        <f>D9-Assumptions!C54</f>
        <v>10</v>
      </c>
      <c r="J9" s="30">
        <f>MIN(MAX($D9-Assumptions!$C$81,0),Assumptions!$D$81-Assumptions!$C$81)*Assumptions!$E$81</f>
        <v>0.35</v>
      </c>
      <c r="K9" s="30">
        <f>MIN(MAX($D9-Assumptions!$C$82,0),Assumptions!$D$82-Assumptions!$C$82)*Assumptions!$E$82</f>
        <v>0.3</v>
      </c>
      <c r="L9" s="30">
        <f>MIN(MAX($D9-Assumptions!$C$83,0),Assumptions!$D$83-Assumptions!$C$83)*Assumptions!$E$83</f>
        <v>0</v>
      </c>
      <c r="M9" s="30">
        <f>MIN(MAX($D9-Assumptions!$C$84,0),Assumptions!$D$84-Assumptions!$C$84)*Assumptions!$E$84</f>
        <v>0</v>
      </c>
      <c r="N9" s="30">
        <f>MIN(MAX($D9-Assumptions!$C$85,0),Assumptions!$D$85-Assumptions!$C$85)*Assumptions!$E$85</f>
        <v>0</v>
      </c>
      <c r="O9" s="30">
        <f>SUM(J9:N9)</f>
        <v>0.65</v>
      </c>
      <c r="P9" s="46">
        <f>MAX(O9,Assumptions!C86)</f>
        <v>0.65</v>
      </c>
    </row>
    <row r="10" spans="2:16" ht="15" customHeight="1">
      <c r="B10" s="23">
        <v>5.25</v>
      </c>
      <c r="C10" s="41">
        <f>Assumptions!C46</f>
        <v>2</v>
      </c>
      <c r="D10" s="30">
        <f>B10*C10</f>
        <v>10.5</v>
      </c>
      <c r="E10" s="30">
        <f>P10</f>
        <v>0.675</v>
      </c>
      <c r="F10" s="65">
        <f>E10/D10</f>
        <v>0.0642857142857143</v>
      </c>
      <c r="G10" s="30">
        <f>D10-Assumptions!C54</f>
        <v>10.5</v>
      </c>
      <c r="J10" s="30">
        <f>MIN(MAX($D10-Assumptions!$C$81,0),Assumptions!$D$81-Assumptions!$C$81)*Assumptions!$E$81</f>
        <v>0.35</v>
      </c>
      <c r="K10" s="30">
        <f>MIN(MAX($D10-Assumptions!$C$82,0),Assumptions!$D$82-Assumptions!$C$82)*Assumptions!$E$82</f>
        <v>0.3</v>
      </c>
      <c r="L10" s="30">
        <f>MIN(MAX($D10-Assumptions!$C$83,0),Assumptions!$D$83-Assumptions!$C$83)*Assumptions!$E$83</f>
        <v>0.025</v>
      </c>
      <c r="M10" s="30">
        <f>MIN(MAX($D10-Assumptions!$C$84,0),Assumptions!$D$84-Assumptions!$C$84)*Assumptions!$E$84</f>
        <v>0</v>
      </c>
      <c r="N10" s="30">
        <f>MIN(MAX($D10-Assumptions!$C$85,0),Assumptions!$D$85-Assumptions!$C$85)*Assumptions!$E$85</f>
        <v>0</v>
      </c>
      <c r="O10" s="30">
        <f>SUM(J10:N10)</f>
        <v>0.675</v>
      </c>
      <c r="P10" s="46">
        <f>MAX(O10,Assumptions!C86)</f>
        <v>0.675</v>
      </c>
    </row>
    <row r="11" spans="2:16" ht="15" customHeight="1">
      <c r="B11" s="68">
        <v>5.5</v>
      </c>
      <c r="C11" s="69">
        <f>Assumptions!C46</f>
        <v>2</v>
      </c>
      <c r="D11" s="70">
        <f>B11*C11</f>
        <v>11</v>
      </c>
      <c r="E11" s="70">
        <f>P11</f>
        <v>0.7</v>
      </c>
      <c r="F11" s="71">
        <f>E11/D11</f>
        <v>0.0636363636363636</v>
      </c>
      <c r="G11" s="70">
        <f>D11-Assumptions!C54</f>
        <v>11</v>
      </c>
      <c r="J11" s="30">
        <f>MIN(MAX($D11-Assumptions!$C$81,0),Assumptions!$D$81-Assumptions!$C$81)*Assumptions!$E$81</f>
        <v>0.35</v>
      </c>
      <c r="K11" s="30">
        <f>MIN(MAX($D11-Assumptions!$C$82,0),Assumptions!$D$82-Assumptions!$C$82)*Assumptions!$E$82</f>
        <v>0.3</v>
      </c>
      <c r="L11" s="30">
        <f>MIN(MAX($D11-Assumptions!$C$83,0),Assumptions!$D$83-Assumptions!$C$83)*Assumptions!$E$83</f>
        <v>0.05</v>
      </c>
      <c r="M11" s="30">
        <f>MIN(MAX($D11-Assumptions!$C$84,0),Assumptions!$D$84-Assumptions!$C$84)*Assumptions!$E$84</f>
        <v>0</v>
      </c>
      <c r="N11" s="30">
        <f>MIN(MAX($D11-Assumptions!$C$85,0),Assumptions!$D$85-Assumptions!$C$85)*Assumptions!$E$85</f>
        <v>0</v>
      </c>
      <c r="O11" s="30">
        <f>SUM(J11:N11)</f>
        <v>0.7</v>
      </c>
      <c r="P11" s="46">
        <f>MAX(O11,Assumptions!C86)</f>
        <v>0.7</v>
      </c>
    </row>
    <row r="12" spans="2:16" ht="15" customHeight="1">
      <c r="B12" s="23">
        <v>5.75</v>
      </c>
      <c r="C12" s="41">
        <f>Assumptions!C46</f>
        <v>2</v>
      </c>
      <c r="D12" s="30">
        <f>B12*C12</f>
        <v>11.5</v>
      </c>
      <c r="E12" s="30">
        <f>P12</f>
        <v>0.725</v>
      </c>
      <c r="F12" s="65">
        <f>E12/D12</f>
        <v>0.0630434782608696</v>
      </c>
      <c r="G12" s="30">
        <f>D12-Assumptions!C54</f>
        <v>11.5</v>
      </c>
      <c r="J12" s="30">
        <f>MIN(MAX($D12-Assumptions!$C$81,0),Assumptions!$D$81-Assumptions!$C$81)*Assumptions!$E$81</f>
        <v>0.35</v>
      </c>
      <c r="K12" s="30">
        <f>MIN(MAX($D12-Assumptions!$C$82,0),Assumptions!$D$82-Assumptions!$C$82)*Assumptions!$E$82</f>
        <v>0.3</v>
      </c>
      <c r="L12" s="30">
        <f>MIN(MAX($D12-Assumptions!$C$83,0),Assumptions!$D$83-Assumptions!$C$83)*Assumptions!$E$83</f>
        <v>0.075</v>
      </c>
      <c r="M12" s="30">
        <f>MIN(MAX($D12-Assumptions!$C$84,0),Assumptions!$D$84-Assumptions!$C$84)*Assumptions!$E$84</f>
        <v>0</v>
      </c>
      <c r="N12" s="30">
        <f>MIN(MAX($D12-Assumptions!$C$85,0),Assumptions!$D$85-Assumptions!$C$85)*Assumptions!$E$85</f>
        <v>0</v>
      </c>
      <c r="O12" s="30">
        <f>SUM(J12:N12)</f>
        <v>0.725</v>
      </c>
      <c r="P12" s="46">
        <f>MAX(O12,Assumptions!C86)</f>
        <v>0.725</v>
      </c>
    </row>
    <row r="13" spans="2:16" ht="15" customHeight="1">
      <c r="B13" s="23">
        <v>6</v>
      </c>
      <c r="C13" s="41">
        <f>Assumptions!C46</f>
        <v>2</v>
      </c>
      <c r="D13" s="30">
        <f>B13*C13</f>
        <v>12</v>
      </c>
      <c r="E13" s="30">
        <f>P13</f>
        <v>0.75</v>
      </c>
      <c r="F13" s="65">
        <f>E13/D13</f>
        <v>0.0625</v>
      </c>
      <c r="G13" s="30">
        <f>D13-Assumptions!C54</f>
        <v>12</v>
      </c>
      <c r="J13" s="30">
        <f>MIN(MAX($D13-Assumptions!$C$81,0),Assumptions!$D$81-Assumptions!$C$81)*Assumptions!$E$81</f>
        <v>0.35</v>
      </c>
      <c r="K13" s="30">
        <f>MIN(MAX($D13-Assumptions!$C$82,0),Assumptions!$D$82-Assumptions!$C$82)*Assumptions!$E$82</f>
        <v>0.3</v>
      </c>
      <c r="L13" s="30">
        <f>MIN(MAX($D13-Assumptions!$C$83,0),Assumptions!$D$83-Assumptions!$C$83)*Assumptions!$E$83</f>
        <v>0.1</v>
      </c>
      <c r="M13" s="30">
        <f>MIN(MAX($D13-Assumptions!$C$84,0),Assumptions!$D$84-Assumptions!$C$84)*Assumptions!$E$84</f>
        <v>0</v>
      </c>
      <c r="N13" s="30">
        <f>MIN(MAX($D13-Assumptions!$C$85,0),Assumptions!$D$85-Assumptions!$C$85)*Assumptions!$E$85</f>
        <v>0</v>
      </c>
      <c r="O13" s="30">
        <f>SUM(J13:N13)</f>
        <v>0.75</v>
      </c>
      <c r="P13" s="46">
        <f>MAX(O13,Assumptions!C86)</f>
        <v>0.75</v>
      </c>
    </row>
    <row r="14" spans="2:16" ht="15" customHeight="1">
      <c r="B14" s="23">
        <v>6.25</v>
      </c>
      <c r="C14" s="41">
        <f>Assumptions!C46</f>
        <v>2</v>
      </c>
      <c r="D14" s="30">
        <f>B14*C14</f>
        <v>12.5</v>
      </c>
      <c r="E14" s="30">
        <f>P14</f>
        <v>0.775</v>
      </c>
      <c r="F14" s="65">
        <f>E14/D14</f>
        <v>0.062</v>
      </c>
      <c r="G14" s="30">
        <f>D14-Assumptions!C54</f>
        <v>12.5</v>
      </c>
      <c r="J14" s="30">
        <f>MIN(MAX($D14-Assumptions!$C$81,0),Assumptions!$D$81-Assumptions!$C$81)*Assumptions!$E$81</f>
        <v>0.35</v>
      </c>
      <c r="K14" s="30">
        <f>MIN(MAX($D14-Assumptions!$C$82,0),Assumptions!$D$82-Assumptions!$C$82)*Assumptions!$E$82</f>
        <v>0.3</v>
      </c>
      <c r="L14" s="30">
        <f>MIN(MAX($D14-Assumptions!$C$83,0),Assumptions!$D$83-Assumptions!$C$83)*Assumptions!$E$83</f>
        <v>0.125</v>
      </c>
      <c r="M14" s="30">
        <f>MIN(MAX($D14-Assumptions!$C$84,0),Assumptions!$D$84-Assumptions!$C$84)*Assumptions!$E$84</f>
        <v>0</v>
      </c>
      <c r="N14" s="30">
        <f>MIN(MAX($D14-Assumptions!$C$85,0),Assumptions!$D$85-Assumptions!$C$85)*Assumptions!$E$85</f>
        <v>0</v>
      </c>
      <c r="O14" s="30">
        <f>SUM(J14:N14)</f>
        <v>0.775</v>
      </c>
      <c r="P14" s="46">
        <f>MAX(O14,Assumptions!C86)</f>
        <v>0.775</v>
      </c>
    </row>
    <row r="15" spans="2:16" ht="15" customHeight="1">
      <c r="B15" s="23">
        <v>6.5</v>
      </c>
      <c r="C15" s="41">
        <f>Assumptions!C46</f>
        <v>2</v>
      </c>
      <c r="D15" s="30">
        <f>B15*C15</f>
        <v>13</v>
      </c>
      <c r="E15" s="30">
        <f>P15</f>
        <v>0.8</v>
      </c>
      <c r="F15" s="65">
        <f>E15/D15</f>
        <v>0.0615384615384615</v>
      </c>
      <c r="G15" s="30">
        <f>D15-Assumptions!C54</f>
        <v>13</v>
      </c>
      <c r="J15" s="30">
        <f>MIN(MAX($D15-Assumptions!$C$81,0),Assumptions!$D$81-Assumptions!$C$81)*Assumptions!$E$81</f>
        <v>0.35</v>
      </c>
      <c r="K15" s="30">
        <f>MIN(MAX($D15-Assumptions!$C$82,0),Assumptions!$D$82-Assumptions!$C$82)*Assumptions!$E$82</f>
        <v>0.3</v>
      </c>
      <c r="L15" s="30">
        <f>MIN(MAX($D15-Assumptions!$C$83,0),Assumptions!$D$83-Assumptions!$C$83)*Assumptions!$E$83</f>
        <v>0.15</v>
      </c>
      <c r="M15" s="30">
        <f>MIN(MAX($D15-Assumptions!$C$84,0),Assumptions!$D$84-Assumptions!$C$84)*Assumptions!$E$84</f>
        <v>0</v>
      </c>
      <c r="N15" s="30">
        <f>MIN(MAX($D15-Assumptions!$C$85,0),Assumptions!$D$85-Assumptions!$C$85)*Assumptions!$E$85</f>
        <v>0</v>
      </c>
      <c r="O15" s="30">
        <f>SUM(J15:N15)</f>
        <v>0.8</v>
      </c>
      <c r="P15" s="46">
        <f>MAX(O15,Assumptions!C86)</f>
        <v>0.8</v>
      </c>
    </row>
    <row r="17" spans="2:7" ht="15" customHeight="1">
      <c r="B17" s="14"/>
    </row>
    <row r="19" spans="2:7" ht="18" customHeight="1">
      <c r="B19" s="9" t="s">
        <v>254</v>
      </c>
      <c r="C19" s="9"/>
      <c r="D19" s="9"/>
      <c r="E19" s="9"/>
      <c r="F19" s="9"/>
      <c r="G19" s="9"/>
    </row>
    <row r="20" spans="2:7" ht="15" customHeight="1">
      <c r="B20" s="16" t="s">
        <v>255</v>
      </c>
      <c r="D20" s="30">
        <f>D7</f>
        <v>9</v>
      </c>
    </row>
    <row r="21" spans="2:7" ht="15" customHeight="1">
      <c r="B21" s="16" t="s">
        <v>256</v>
      </c>
      <c r="D21" s="30">
        <f>D15</f>
        <v>13</v>
      </c>
    </row>
    <row r="22" spans="2:7" ht="15" customHeight="1">
      <c r="B22" s="16" t="s">
        <v>257</v>
      </c>
      <c r="D22" s="30">
        <f>E7</f>
        <v>0.59</v>
      </c>
    </row>
    <row r="23" spans="2:7" ht="15" customHeight="1">
      <c r="B23" s="16" t="s">
        <v>258</v>
      </c>
      <c r="D23" s="30">
        <f>E15</f>
        <v>0.8</v>
      </c>
    </row>
    <row r="25" spans="2:7" ht="18.75" customHeight="1">
      <c r="B25" s="7"/>
      <c r="C25" s="7"/>
      <c r="D25" s="7"/>
      <c r="E25" s="7"/>
      <c r="F25" s="7"/>
      <c r="G25" s="7"/>
    </row>
  </sheetData>
  <mergeCells count="5">
    <mergeCell ref="B2:G2"/>
    <mergeCell ref="B3:G3"/>
    <mergeCell ref="B5:G5"/>
    <mergeCell ref="B19:G19"/>
    <mergeCell ref="B25:G25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30"/>
  <sheetViews>
    <sheetView showGridLines="0" zoomScaleNormal="100"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ColWidth="8.7109375" defaultRowHeight="15"/>
  <cols>
    <col min="1" max="1" width="3" style="12" customWidth="1"/>
    <col min="2" max="2" width="44" style="12" customWidth="1"/>
    <col min="3" max="8" width="14" style="12" customWidth="1"/>
    <col min="9" max="9" width="4" style="12" customWidth="1"/>
  </cols>
  <sheetData>
    <row r="1" spans="2:8" ht="15" customHeight="1">
      <c r="F1" s="17" t="s">
        <v>32</v>
      </c>
    </row>
    <row r="2" spans="2:8" ht="25.5" customHeight="1">
      <c r="B2" s="11" t="s">
        <v>259</v>
      </c>
      <c r="C2" s="11"/>
      <c r="D2" s="11"/>
      <c r="E2" s="11"/>
      <c r="F2" s="11"/>
      <c r="G2" s="11"/>
      <c r="H2" s="11"/>
    </row>
    <row r="3" spans="2:8" ht="15.75" customHeight="1">
      <c r="B3" s="3" t="s">
        <v>260</v>
      </c>
      <c r="C3" s="3"/>
      <c r="D3" s="3"/>
      <c r="E3" s="3"/>
      <c r="F3" s="3"/>
      <c r="G3" s="3"/>
      <c r="H3" s="3"/>
    </row>
    <row r="5" spans="2:8" ht="18" customHeight="1">
      <c r="B5" s="9" t="s">
        <v>261</v>
      </c>
      <c r="C5" s="9"/>
      <c r="D5" s="9"/>
      <c r="E5" s="9"/>
    </row>
    <row r="6" spans="2:8" ht="15" customHeight="1">
      <c r="B6" s="13" t="s">
        <v>262</v>
      </c>
      <c r="C6" s="61">
        <f>'Sources &amp; Uses'!C17</f>
        <v>4.06</v>
      </c>
    </row>
    <row r="7" spans="2:8" ht="15" customHeight="1">
      <c r="B7" s="16" t="s">
        <v>263</v>
      </c>
      <c r="C7" s="41">
        <f>'Sources &amp; Uses'!C16</f>
        <v>1.65</v>
      </c>
    </row>
    <row r="8" spans="2:8" ht="15" customHeight="1">
      <c r="B8" s="16" t="s">
        <v>264</v>
      </c>
      <c r="C8" s="35">
        <f>Assumptions!C51</f>
        <v>5.5</v>
      </c>
    </row>
    <row r="10" spans="2:8" ht="18" customHeight="1">
      <c r="B10" s="9" t="s">
        <v>265</v>
      </c>
      <c r="C10" s="9"/>
      <c r="D10" s="9"/>
      <c r="E10" s="9"/>
    </row>
    <row r="11" spans="2:8" ht="15" customHeight="1">
      <c r="B11" s="16" t="s">
        <v>266</v>
      </c>
      <c r="C11" s="41">
        <f>'Income Statement'!L11</f>
        <v>3.04678516694153</v>
      </c>
    </row>
    <row r="12" spans="2:8" ht="15" customHeight="1">
      <c r="B12" s="16" t="s">
        <v>267</v>
      </c>
      <c r="C12" s="35">
        <f>Assumptions!C51</f>
        <v>5.5</v>
      </c>
    </row>
    <row r="13" spans="2:8" ht="15" customHeight="1">
      <c r="B13" s="13" t="s">
        <v>268</v>
      </c>
      <c r="C13" s="53">
        <f>C11*C12</f>
        <v>16.7573184181784</v>
      </c>
    </row>
    <row r="14" spans="2:8" ht="15" customHeight="1">
      <c r="B14" s="16" t="s">
        <v>269</v>
      </c>
      <c r="C14" s="41">
        <f>-'Cash Flow &amp; Debt Schedule'!G10</f>
        <v>-0.833333333333333</v>
      </c>
    </row>
    <row r="15" spans="2:8" ht="15" customHeight="1">
      <c r="B15" s="16" t="s">
        <v>270</v>
      </c>
      <c r="C15" s="41">
        <f>-'Cash Flow &amp; Debt Schedule'!G15</f>
        <v>-1.1</v>
      </c>
    </row>
    <row r="16" spans="2:8" ht="15" customHeight="1">
      <c r="B16" s="13" t="s">
        <v>271</v>
      </c>
      <c r="C16" s="53">
        <f>C13+C14+C15</f>
        <v>14.8239850848451</v>
      </c>
    </row>
    <row r="18" spans="2:8" ht="18" customHeight="1">
      <c r="B18" s="9" t="s">
        <v>272</v>
      </c>
      <c r="C18" s="9"/>
      <c r="D18" s="9"/>
      <c r="E18" s="9"/>
    </row>
    <row r="19" spans="2:8" ht="15" customHeight="1">
      <c r="B19" s="16" t="s">
        <v>273</v>
      </c>
      <c r="C19" s="29">
        <f>C6/(C6+C7)</f>
        <v>0.711033274956217</v>
      </c>
    </row>
    <row r="20" spans="2:8" ht="15" customHeight="1">
      <c r="B20" s="13" t="s">
        <v>274</v>
      </c>
      <c r="C20" s="53">
        <f>C16*C19</f>
        <v>10.5403466627795</v>
      </c>
    </row>
    <row r="22" spans="2:8" ht="15" customHeight="1">
      <c r="B22" s="13" t="s">
        <v>275</v>
      </c>
      <c r="C22" s="58">
        <f>C20/C6</f>
        <v>2.59614449822156</v>
      </c>
    </row>
    <row r="23" spans="2:8" ht="15" customHeight="1">
      <c r="B23" s="16" t="s">
        <v>276</v>
      </c>
      <c r="C23" s="37">
        <v>5</v>
      </c>
    </row>
    <row r="24" spans="2:8" ht="15" customHeight="1">
      <c r="B24" s="13" t="s">
        <v>277</v>
      </c>
      <c r="C24" s="72">
        <f>IRR(C28:H28)</f>
        <v>0.210224030728596</v>
      </c>
    </row>
    <row r="26" spans="2:8" ht="18" customHeight="1">
      <c r="B26" s="9" t="s">
        <v>278</v>
      </c>
      <c r="C26" s="9"/>
      <c r="D26" s="9"/>
      <c r="E26" s="9"/>
      <c r="F26" s="9"/>
      <c r="G26" s="9"/>
      <c r="H26" s="9"/>
    </row>
    <row r="27" spans="2:8" ht="15" customHeight="1">
      <c r="B27" s="13" t="s">
        <v>279</v>
      </c>
      <c r="C27" s="19" t="s">
        <v>280</v>
      </c>
      <c r="D27" s="19" t="s">
        <v>281</v>
      </c>
      <c r="E27" s="19" t="s">
        <v>282</v>
      </c>
      <c r="F27" s="19" t="s">
        <v>283</v>
      </c>
      <c r="G27" s="19" t="s">
        <v>284</v>
      </c>
      <c r="H27" s="19" t="s">
        <v>285</v>
      </c>
    </row>
    <row r="28" spans="2:8" ht="15" customHeight="1">
      <c r="B28" s="16" t="s">
        <v>286</v>
      </c>
      <c r="C28" s="30">
        <f>-C6</f>
        <v>-4.06</v>
      </c>
      <c r="D28" s="30">
        <v>0</v>
      </c>
      <c r="E28" s="30">
        <v>0</v>
      </c>
      <c r="F28" s="30">
        <v>0</v>
      </c>
      <c r="G28" s="30">
        <v>0</v>
      </c>
      <c r="H28" s="30">
        <f>C20</f>
        <v>10.5403466627795</v>
      </c>
    </row>
    <row r="30" spans="2:8" ht="27.75" customHeight="1">
      <c r="B30" s="7"/>
      <c r="C30" s="7"/>
      <c r="D30" s="7"/>
      <c r="E30" s="7"/>
      <c r="F30" s="7"/>
      <c r="G30" s="7"/>
      <c r="H30" s="7"/>
    </row>
  </sheetData>
  <mergeCells count="7">
    <mergeCell ref="B26:H26"/>
    <mergeCell ref="B30:H30"/>
    <mergeCell ref="B2:H2"/>
    <mergeCell ref="B3:H3"/>
    <mergeCell ref="B5:E5"/>
    <mergeCell ref="B10:E10"/>
    <mergeCell ref="B18:E18"/>
  </mergeCells>
  <pageMargins left="0.3" right="0.3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2026-08-05T05:13:28Z</dcterms:created>
  <dcterms:modified xsi:type="dcterms:W3CDTF">2026-08-05T21:30:15Z</dcterms:modified>
  <cp:category/>
  <cp:contentStatus/>
</cp:coreProperties>
</file>